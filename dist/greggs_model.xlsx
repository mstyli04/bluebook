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heck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Historicals" sheetId="4" state="visible" r:id="rId4"/>
    <sheet xmlns:r="http://schemas.openxmlformats.org/officeDocument/2006/relationships" name="IS" sheetId="5" state="visible" r:id="rId5"/>
    <sheet xmlns:r="http://schemas.openxmlformats.org/officeDocument/2006/relationships" name="BS" sheetId="6" state="visible" r:id="rId6"/>
    <sheet xmlns:r="http://schemas.openxmlformats.org/officeDocument/2006/relationships" name="CF" sheetId="7" state="visible" r:id="rId7"/>
    <sheet xmlns:r="http://schemas.openxmlformats.org/officeDocument/2006/relationships" name="Schedules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Comps" sheetId="11" state="visible" r:id="rId11"/>
    <sheet xmlns:r="http://schemas.openxmlformats.org/officeDocument/2006/relationships" name="LBO" sheetId="12" state="visible" r:id="rId12"/>
    <sheet xmlns:r="http://schemas.openxmlformats.org/officeDocument/2006/relationships" name="Football Field" sheetId="13" state="visible" r:id="rId13"/>
  </sheets>
  <definedNames/>
  <calcPr calcId="124519" fullCalcOnLoad="1" iterate="1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&quot;x&quot;"/>
    <numFmt numFmtId="166" formatCode="#,##0.0;(#,##0.0)"/>
    <numFmt numFmtId="167" formatCode="#,##0&quot;p&quot;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FF000000"/>
    </font>
    <font>
      <color rgb="FF0000FF"/>
    </font>
    <font>
      <color rgb="FF000000"/>
    </font>
    <font>
      <color rgb="FF008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6" fontId="4" fillId="0" borderId="0" pivotButton="0" quotePrefix="0" xfId="0"/>
    <xf numFmtId="165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4" fontId="4" fillId="0" borderId="0" pivotButton="0" quotePrefix="0" xfId="0"/>
    <xf numFmtId="4" fontId="3" fillId="0" borderId="0" pivotButton="0" quotePrefix="0" xfId="0"/>
    <xf numFmtId="166" fontId="3" fillId="0" borderId="0" pivotButton="0" quotePrefix="0" xfId="0"/>
    <xf numFmtId="4" fontId="4" fillId="0" borderId="0" pivotButton="0" quotePrefix="0" xfId="0"/>
    <xf numFmtId="166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7" fontId="4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Greggs plc — implied value per share (pence)</a:t>
            </a:r>
          </a:p>
        </rich>
      </tx>
    </title>
    <plotArea>
      <barChart>
        <barDir val="bar"/>
        <grouping val="stacked"/>
        <ser>
          <idx val="0"/>
          <order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dPt>
            <idx val="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</dPt>
          <cat>
            <numRef>
              <f>'Football Field'!$B$4:$B$6</f>
            </numRef>
          </cat>
          <val>
            <numRef>
              <f>'Football Field'!$C$4:$C$6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'Football Field'!$B$4:$B$6</f>
            </numRef>
          </cat>
          <val>
            <numRef>
              <f>'Football Field'!$E$4:$E$6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Pence per share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1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Greggs plc — three-statement operating model and valuation</t>
        </is>
      </c>
    </row>
    <row r="3">
      <c r="B3" t="inlineStr">
        <is>
          <t>All figures £m unless stated. Reported figures are post-IFRS 16.</t>
        </is>
      </c>
    </row>
    <row r="4">
      <c r="B4" t="inlineStr">
        <is>
          <t>Scenario switch: Assumptions!C3 (Bear / Base / Bull). Changing it re-drives every forecast, schedule and valuation in this workbook.</t>
        </is>
      </c>
    </row>
    <row r="5">
      <c r="B5" t="inlineStr">
        <is>
          <t>There are no circular references: interest on borrowings is charged on the opening balance, so the workbook recalculates in a single pass. Iterative calculation is enabled anyway (100 iterations, 0.0001 delta) so that a later edit introducing a circularity converges rather than erroring.</t>
        </is>
      </c>
    </row>
    <row r="6">
      <c r="B6" t="inlineStr">
        <is>
          <t>FINANCING ASSUMPTION: the revolving credit facility is assumed to be upsized. Forecast borrowings peak in FY2028 in every scenario, at roughly twice the £100m facility drawn against at FY2025. Peak-year leverage stays modest at 0.4x-0.6x EBITDA, so the upsize is an assumption about facility availability, not about solvency.</t>
        </is>
      </c>
    </row>
    <row r="7">
      <c r="B7" t="inlineStr">
        <is>
          <t>The risk-free rate, equity risk premium, beta and RCF credit spread are reasoned judgement estimates, not sourced figures. Every other input is either transcribed from a filing (see Historicals, column L) or derived from those transcriptions.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Checks — integrity tests. Every result below must read TRUE.</t>
        </is>
      </c>
    </row>
    <row r="3">
      <c r="B3" t="inlineStr">
        <is>
          <t>Balance sheet balances in every forecast year</t>
        </is>
      </c>
      <c r="D3" s="2">
        <f>AND(ABS('BS'!F19)&lt;1e-06,ABS('BS'!G19)&lt;1e-06,ABS('BS'!H19)&lt;1e-06,ABS('BS'!I19)&lt;1e-06,ABS('BS'!J19)&lt;1e-06)</f>
        <v/>
      </c>
    </row>
    <row r="4">
      <c r="B4" t="inlineStr">
        <is>
          <t>Closing cash agrees across all three constructions of it, every year</t>
        </is>
      </c>
      <c r="D4" s="2">
        <f>AND(AND(ABS('CF'!F20-'BS'!F8)&lt;1e-06,ABS('CF'!F20-'Schedules'!F48)&lt;1e-06),AND(ABS('CF'!G20-'BS'!G8)&lt;1e-06,ABS('CF'!G20-'Schedules'!G48)&lt;1e-06),AND(ABS('CF'!H20-'BS'!H8)&lt;1e-06,ABS('CF'!H20-'Schedules'!H48)&lt;1e-06),AND(ABS('CF'!I20-'BS'!I8)&lt;1e-06,ABS('CF'!I20-'Schedules'!I48)&lt;1e-06),AND(ABS('CF'!J20-'BS'!J8)&lt;1e-06,ABS('CF'!J20-'Schedules'!J48)&lt;1e-06))</f>
        <v/>
      </c>
    </row>
    <row r="5">
      <c r="B5" t="inlineStr">
        <is>
          <t>Closing borrowings never negative (no accidental cash-as-debt)</t>
        </is>
      </c>
      <c r="D5" s="2">
        <f>AND('Schedules'!F47&gt;=0,'Schedules'!G47&gt;=0,'Schedules'!H47&gt;=0,'Schedules'!I47&gt;=0,'Schedules'!J47&gt;=0)</f>
        <v/>
      </c>
    </row>
    <row r="6">
      <c r="B6" t="inlineStr">
        <is>
          <t>Cash never falls below the £50m minimum the revolver defends</t>
        </is>
      </c>
      <c r="D6" s="2">
        <f>AND('CF'!F20&gt;=50.0-1e-06,'CF'!G20&gt;=50.0-1e-06,'CF'!H20&gt;=50.0-1e-06,'CF'!I20&gt;=50.0-1e-06,'CF'!J20&gt;=50.0-1e-06)</f>
        <v/>
      </c>
    </row>
    <row r="7">
      <c r="B7" t="inlineStr">
        <is>
          <t>Perpetuity growth is below WACC (the Gordon formula is defined)</t>
        </is>
      </c>
      <c r="D7" s="2">
        <f>'DCF'!$C$21&lt;'DCF'!$C$5</f>
        <v/>
      </c>
    </row>
    <row r="8">
      <c r="B8" t="inlineStr">
        <is>
          <t>Terminal value is below 97% of enterprise value</t>
        </is>
      </c>
      <c r="D8" s="2">
        <f>'DCF'!$C$60&lt;0.97</f>
        <v/>
      </c>
    </row>
    <row r="9">
      <c r="B9" t="inlineStr">
        <is>
          <t>No forecast revenue growth outside +/-50%</t>
        </is>
      </c>
      <c r="D9" s="2">
        <f>AND(ABS('IS'!G3/'IS'!F3-1)&lt;0.5,ABS('IS'!H3/'IS'!G3-1)&lt;0.5,ABS('IS'!I3/'IS'!H3-1)&lt;0.5,ABS('IS'!J3/'IS'!I3-1)&lt;0.5)</f>
        <v/>
      </c>
    </row>
    <row r="10">
      <c r="B10" t="inlineStr">
        <is>
          <t>Peak borrowings are an assumed facility upsize, not a solvency problem: peak-year borrowings / EBITDA below 1.0x</t>
        </is>
      </c>
      <c r="D10" s="2">
        <f>AND('Schedules'!F47/'IS'!F7&lt;1.0,'Schedules'!G47/'IS'!G7&lt;1.0,'Schedules'!H47/'IS'!H7&lt;1.0,'Schedules'!I47/'IS'!I7&lt;1.0,'Schedules'!J47/'IS'!J7&lt;1.0)</f>
        <v/>
      </c>
    </row>
    <row r="12">
      <c r="A12" s="1" t="inlineStr">
        <is>
          <t>The figures behind the financing disclosure</t>
        </is>
      </c>
    </row>
    <row r="13">
      <c r="B13" t="inlineStr">
        <is>
          <t>Peak forecast borrowings (£m) — against the £100m facility drawn at FY2025</t>
        </is>
      </c>
      <c r="C13" s="3">
        <f>MAX('Schedules'!F47,'Schedules'!G47,'Schedules'!H47,'Schedules'!I47,'Schedules'!J47)</f>
        <v/>
      </c>
    </row>
    <row r="14">
      <c r="B14" t="inlineStr">
        <is>
          <t>Peak borrowings / that year's EBITDA (x)</t>
        </is>
      </c>
      <c r="C14" s="4">
        <f>MAX('Schedules'!F47/'IS'!F7,'Schedules'!G47/'IS'!G7,'Schedules'!H47/'IS'!H7,'Schedules'!I47/'IS'!I7,'Schedules'!J47/'IS'!J7)</f>
        <v/>
      </c>
    </row>
    <row r="16">
      <c r="B16" t="inlineStr">
        <is>
          <t>Every result above is a live formula reading the rows it tests, not a recorded outcome. Move the scenario switch on Assumptions and they re-evaluate. If any reads FALSE, the workbook is not internally consistent and nothing downstream of it should be quoted.</t>
        </is>
      </c>
    </row>
    <row r="17">
      <c r="B17" t="inlineStr">
        <is>
          <t>These test internal consistency, not whether the forecast is right. A model can tie out perfectly and still be built on the wrong drivers — the Cover's disclosures and the Historicals' source column are where that question is answered.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Assumptions — drivers and the scenario switch</t>
        </is>
      </c>
    </row>
    <row r="2">
      <c r="F2" s="5" t="inlineStr">
        <is>
          <t>FY2026</t>
        </is>
      </c>
      <c r="G2" s="5" t="inlineStr">
        <is>
          <t>FY2027</t>
        </is>
      </c>
      <c r="H2" s="5" t="inlineStr">
        <is>
          <t>FY2028</t>
        </is>
      </c>
      <c r="I2" s="5" t="inlineStr">
        <is>
          <t>FY2029</t>
        </is>
      </c>
      <c r="J2" s="5" t="inlineStr">
        <is>
          <t>FY2030</t>
        </is>
      </c>
    </row>
    <row r="3">
      <c r="B3" t="inlineStr">
        <is>
          <t>SCENARIO (Bear / Base / Bull)</t>
        </is>
      </c>
      <c r="C3" s="6" t="inlineStr">
        <is>
          <t>Base</t>
        </is>
      </c>
    </row>
    <row r="5">
      <c r="A5" s="1" t="inlineStr">
        <is>
          <t>Scenario paths (inputs)</t>
        </is>
      </c>
    </row>
    <row r="6">
      <c r="B6" t="inlineStr">
        <is>
          <t>Revenue growth — Bear</t>
        </is>
      </c>
      <c r="F6" s="7" t="n">
        <v>0.03</v>
      </c>
      <c r="G6" s="7" t="n">
        <v>0.025</v>
      </c>
      <c r="H6" s="7" t="n">
        <v>0.02</v>
      </c>
      <c r="I6" s="7" t="n">
        <v>0.015</v>
      </c>
      <c r="J6" s="7" t="n">
        <v>0.015</v>
      </c>
    </row>
    <row r="7">
      <c r="B7" t="inlineStr">
        <is>
          <t>Revenue growth — Base</t>
        </is>
      </c>
      <c r="F7" s="7" t="n">
        <v>0.06</v>
      </c>
      <c r="G7" s="7" t="n">
        <v>0.055</v>
      </c>
      <c r="H7" s="7" t="n">
        <v>0.05</v>
      </c>
      <c r="I7" s="7" t="n">
        <v>0.045</v>
      </c>
      <c r="J7" s="7" t="n">
        <v>0.045</v>
      </c>
    </row>
    <row r="8">
      <c r="B8" t="inlineStr">
        <is>
          <t>Revenue growth — Bull</t>
        </is>
      </c>
      <c r="F8" s="7" t="n">
        <v>0.08499999999999999</v>
      </c>
      <c r="G8" s="7" t="n">
        <v>0.08</v>
      </c>
      <c r="H8" s="7" t="n">
        <v>0.07500000000000001</v>
      </c>
      <c r="I8" s="7" t="n">
        <v>0.07000000000000001</v>
      </c>
      <c r="J8" s="7" t="n">
        <v>0.07000000000000001</v>
      </c>
    </row>
    <row r="9">
      <c r="B9" t="inlineStr">
        <is>
          <t>Gross margin — Bear</t>
        </is>
      </c>
      <c r="F9" s="7" t="n">
        <v>0.5996</v>
      </c>
      <c r="G9" s="7" t="n">
        <v>0.6015</v>
      </c>
      <c r="H9" s="7" t="n">
        <v>0.603</v>
      </c>
      <c r="I9" s="7" t="n">
        <v>0.604</v>
      </c>
      <c r="J9" s="7" t="n">
        <v>0.605</v>
      </c>
    </row>
    <row r="10">
      <c r="B10" t="inlineStr">
        <is>
          <t>Gross margin — Base</t>
        </is>
      </c>
      <c r="F10" s="7" t="n">
        <v>0.6146</v>
      </c>
      <c r="G10" s="7" t="n">
        <v>0.6165</v>
      </c>
      <c r="H10" s="7" t="n">
        <v>0.618</v>
      </c>
      <c r="I10" s="7" t="n">
        <v>0.619</v>
      </c>
      <c r="J10" s="7" t="n">
        <v>0.62</v>
      </c>
    </row>
    <row r="11">
      <c r="B11" t="inlineStr">
        <is>
          <t>Gross margin — Bull</t>
        </is>
      </c>
      <c r="F11" s="7" t="n">
        <v>0.6296</v>
      </c>
      <c r="G11" s="7" t="n">
        <v>0.6315000000000001</v>
      </c>
      <c r="H11" s="7" t="n">
        <v>0.633</v>
      </c>
      <c r="I11" s="7" t="n">
        <v>0.634</v>
      </c>
      <c r="J11" s="7" t="n">
        <v>0.635</v>
      </c>
    </row>
    <row r="12">
      <c r="B12" t="inlineStr">
        <is>
          <t>Operating costs (% of revenue) — Bear</t>
        </is>
      </c>
      <c r="F12" s="7" t="n">
        <v>0.4613</v>
      </c>
      <c r="G12" s="7" t="n">
        <v>0.458</v>
      </c>
      <c r="H12" s="7" t="n">
        <v>0.456</v>
      </c>
      <c r="I12" s="7" t="n">
        <v>0.4545</v>
      </c>
      <c r="J12" s="7" t="n">
        <v>0.453</v>
      </c>
    </row>
    <row r="13">
      <c r="B13" t="inlineStr">
        <is>
          <t>Operating costs (% of revenue) — Base</t>
        </is>
      </c>
      <c r="F13" s="7" t="n">
        <v>0.4513</v>
      </c>
      <c r="G13" s="7" t="n">
        <v>0.448</v>
      </c>
      <c r="H13" s="7" t="n">
        <v>0.446</v>
      </c>
      <c r="I13" s="7" t="n">
        <v>0.4445</v>
      </c>
      <c r="J13" s="7" t="n">
        <v>0.443</v>
      </c>
    </row>
    <row r="14">
      <c r="B14" t="inlineStr">
        <is>
          <t>Operating costs (% of revenue) — Bull</t>
        </is>
      </c>
      <c r="F14" s="7" t="n">
        <v>0.4413</v>
      </c>
      <c r="G14" s="7" t="n">
        <v>0.438</v>
      </c>
      <c r="H14" s="7" t="n">
        <v>0.436</v>
      </c>
      <c r="I14" s="7" t="n">
        <v>0.4345</v>
      </c>
      <c r="J14" s="7" t="n">
        <v>0.433</v>
      </c>
    </row>
    <row r="15">
      <c r="B15" t="inlineStr">
        <is>
          <t>Total capex (% of revenue) — Bear</t>
        </is>
      </c>
      <c r="F15" s="7" t="n">
        <v>0.1227</v>
      </c>
      <c r="G15" s="7" t="n">
        <v>0.111</v>
      </c>
      <c r="H15" s="7" t="n">
        <v>0.096</v>
      </c>
      <c r="I15" s="7" t="n">
        <v>0.08</v>
      </c>
      <c r="J15" s="7" t="n">
        <v>0.0682</v>
      </c>
    </row>
    <row r="16">
      <c r="B16" t="inlineStr">
        <is>
          <t>Total capex (% of revenue) — Base</t>
        </is>
      </c>
      <c r="F16" s="7" t="n">
        <v>0.1327</v>
      </c>
      <c r="G16" s="7" t="n">
        <v>0.121</v>
      </c>
      <c r="H16" s="7" t="n">
        <v>0.106</v>
      </c>
      <c r="I16" s="7" t="n">
        <v>0.09</v>
      </c>
      <c r="J16" s="7" t="n">
        <v>0.07770000000000001</v>
      </c>
    </row>
    <row r="17">
      <c r="B17" t="inlineStr">
        <is>
          <t>Total capex (% of revenue) — Bull</t>
        </is>
      </c>
      <c r="F17" s="7" t="n">
        <v>0.1407</v>
      </c>
      <c r="G17" s="7" t="n">
        <v>0.129</v>
      </c>
      <c r="H17" s="7" t="n">
        <v>0.114</v>
      </c>
      <c r="I17" s="7" t="n">
        <v>0.098</v>
      </c>
      <c r="J17" s="7" t="n">
        <v>0.0852</v>
      </c>
    </row>
    <row r="18">
      <c r="B18" t="inlineStr">
        <is>
          <t>ROU additions (% of revenue) — Bear</t>
        </is>
      </c>
      <c r="F18" s="7" t="n">
        <v>0.031</v>
      </c>
      <c r="G18" s="7" t="n">
        <v>0.0324</v>
      </c>
      <c r="H18" s="7" t="n">
        <v>0.0338</v>
      </c>
      <c r="I18" s="7" t="n">
        <v>0.0352</v>
      </c>
      <c r="J18" s="7" t="n">
        <v>0.03659999999999999</v>
      </c>
    </row>
    <row r="19">
      <c r="B19" t="inlineStr">
        <is>
          <t>ROU additions (% of revenue) — Base</t>
        </is>
      </c>
      <c r="F19" s="7" t="n">
        <v>0.035</v>
      </c>
      <c r="G19" s="7" t="n">
        <v>0.0364</v>
      </c>
      <c r="H19" s="7" t="n">
        <v>0.0378</v>
      </c>
      <c r="I19" s="7" t="n">
        <v>0.0392</v>
      </c>
      <c r="J19" s="7" t="n">
        <v>0.0406</v>
      </c>
    </row>
    <row r="20">
      <c r="B20" t="inlineStr">
        <is>
          <t>ROU additions (% of revenue) — Bull</t>
        </is>
      </c>
      <c r="F20" s="7" t="n">
        <v>0.03900000000000001</v>
      </c>
      <c r="G20" s="7" t="n">
        <v>0.04040000000000001</v>
      </c>
      <c r="H20" s="7" t="n">
        <v>0.0418</v>
      </c>
      <c r="I20" s="7" t="n">
        <v>0.0432</v>
      </c>
      <c r="J20" s="7" t="n">
        <v>0.0446</v>
      </c>
    </row>
    <row r="21">
      <c r="B21" t="inlineStr">
        <is>
          <t>Exit EV/EBITDA multiple — Bear</t>
        </is>
      </c>
      <c r="C21" s="8" t="n">
        <v>5.07</v>
      </c>
    </row>
    <row r="22">
      <c r="B22" t="inlineStr">
        <is>
          <t>Exit EV/EBITDA multiple — Base</t>
        </is>
      </c>
      <c r="C22" s="8" t="n">
        <v>6.31</v>
      </c>
    </row>
    <row r="23">
      <c r="B23" t="inlineStr">
        <is>
          <t>Exit EV/EBITDA multiple — Bull</t>
        </is>
      </c>
      <c r="C23" s="8" t="n">
        <v>7.24</v>
      </c>
    </row>
    <row r="25">
      <c r="A25" s="1" t="inlineStr">
        <is>
          <t>Live drivers (selected by the scenario switch in C3)</t>
        </is>
      </c>
    </row>
    <row r="26">
      <c r="B26" t="inlineStr">
        <is>
          <t>Revenue growth</t>
        </is>
      </c>
      <c r="F26" s="9">
        <f>CHOOSE(MATCH('Assumptions'!$C$3,{"Bear";"Base";"Bull"},0),'Assumptions'!F6,'Assumptions'!F7,'Assumptions'!F8)</f>
        <v/>
      </c>
      <c r="G26" s="9">
        <f>CHOOSE(MATCH('Assumptions'!$C$3,{"Bear";"Base";"Bull"},0),'Assumptions'!G6,'Assumptions'!G7,'Assumptions'!G8)</f>
        <v/>
      </c>
      <c r="H26" s="9">
        <f>CHOOSE(MATCH('Assumptions'!$C$3,{"Bear";"Base";"Bull"},0),'Assumptions'!H6,'Assumptions'!H7,'Assumptions'!H8)</f>
        <v/>
      </c>
      <c r="I26" s="9">
        <f>CHOOSE(MATCH('Assumptions'!$C$3,{"Bear";"Base";"Bull"},0),'Assumptions'!I6,'Assumptions'!I7,'Assumptions'!I8)</f>
        <v/>
      </c>
      <c r="J26" s="9">
        <f>CHOOSE(MATCH('Assumptions'!$C$3,{"Bear";"Base";"Bull"},0),'Assumptions'!J6,'Assumptions'!J7,'Assumptions'!J8)</f>
        <v/>
      </c>
    </row>
    <row r="27">
      <c r="B27" t="inlineStr">
        <is>
          <t>Gross margin</t>
        </is>
      </c>
      <c r="F27" s="9">
        <f>CHOOSE(MATCH('Assumptions'!$C$3,{"Bear";"Base";"Bull"},0),'Assumptions'!F9,'Assumptions'!F10,'Assumptions'!F11)</f>
        <v/>
      </c>
      <c r="G27" s="9">
        <f>CHOOSE(MATCH('Assumptions'!$C$3,{"Bear";"Base";"Bull"},0),'Assumptions'!G9,'Assumptions'!G10,'Assumptions'!G11)</f>
        <v/>
      </c>
      <c r="H27" s="9">
        <f>CHOOSE(MATCH('Assumptions'!$C$3,{"Bear";"Base";"Bull"},0),'Assumptions'!H9,'Assumptions'!H10,'Assumptions'!H11)</f>
        <v/>
      </c>
      <c r="I27" s="9">
        <f>CHOOSE(MATCH('Assumptions'!$C$3,{"Bear";"Base";"Bull"},0),'Assumptions'!I9,'Assumptions'!I10,'Assumptions'!I11)</f>
        <v/>
      </c>
      <c r="J27" s="9">
        <f>CHOOSE(MATCH('Assumptions'!$C$3,{"Bear";"Base";"Bull"},0),'Assumptions'!J9,'Assumptions'!J10,'Assumptions'!J11)</f>
        <v/>
      </c>
    </row>
    <row r="28">
      <c r="B28" t="inlineStr">
        <is>
          <t>Operating costs (% of revenue)</t>
        </is>
      </c>
      <c r="F28" s="9">
        <f>CHOOSE(MATCH('Assumptions'!$C$3,{"Bear";"Base";"Bull"},0),'Assumptions'!F12,'Assumptions'!F13,'Assumptions'!F14)</f>
        <v/>
      </c>
      <c r="G28" s="9">
        <f>CHOOSE(MATCH('Assumptions'!$C$3,{"Bear";"Base";"Bull"},0),'Assumptions'!G12,'Assumptions'!G13,'Assumptions'!G14)</f>
        <v/>
      </c>
      <c r="H28" s="9">
        <f>CHOOSE(MATCH('Assumptions'!$C$3,{"Bear";"Base";"Bull"},0),'Assumptions'!H12,'Assumptions'!H13,'Assumptions'!H14)</f>
        <v/>
      </c>
      <c r="I28" s="9">
        <f>CHOOSE(MATCH('Assumptions'!$C$3,{"Bear";"Base";"Bull"},0),'Assumptions'!I12,'Assumptions'!I13,'Assumptions'!I14)</f>
        <v/>
      </c>
      <c r="J28" s="9">
        <f>CHOOSE(MATCH('Assumptions'!$C$3,{"Bear";"Base";"Bull"},0),'Assumptions'!J12,'Assumptions'!J13,'Assumptions'!J14)</f>
        <v/>
      </c>
    </row>
    <row r="29">
      <c r="B29" t="inlineStr">
        <is>
          <t>Total capex (% of revenue)</t>
        </is>
      </c>
      <c r="F29" s="9">
        <f>CHOOSE(MATCH('Assumptions'!$C$3,{"Bear";"Base";"Bull"},0),'Assumptions'!F15,'Assumptions'!F16,'Assumptions'!F17)</f>
        <v/>
      </c>
      <c r="G29" s="9">
        <f>CHOOSE(MATCH('Assumptions'!$C$3,{"Bear";"Base";"Bull"},0),'Assumptions'!G15,'Assumptions'!G16,'Assumptions'!G17)</f>
        <v/>
      </c>
      <c r="H29" s="9">
        <f>CHOOSE(MATCH('Assumptions'!$C$3,{"Bear";"Base";"Bull"},0),'Assumptions'!H15,'Assumptions'!H16,'Assumptions'!H17)</f>
        <v/>
      </c>
      <c r="I29" s="9">
        <f>CHOOSE(MATCH('Assumptions'!$C$3,{"Bear";"Base";"Bull"},0),'Assumptions'!I15,'Assumptions'!I16,'Assumptions'!I17)</f>
        <v/>
      </c>
      <c r="J29" s="9">
        <f>CHOOSE(MATCH('Assumptions'!$C$3,{"Bear";"Base";"Bull"},0),'Assumptions'!J15,'Assumptions'!J16,'Assumptions'!J17)</f>
        <v/>
      </c>
    </row>
    <row r="30">
      <c r="B30" t="inlineStr">
        <is>
          <t>ROU additions (% of revenue)</t>
        </is>
      </c>
      <c r="F30" s="9">
        <f>CHOOSE(MATCH('Assumptions'!$C$3,{"Bear";"Base";"Bull"},0),'Assumptions'!F18,'Assumptions'!F19,'Assumptions'!F20)</f>
        <v/>
      </c>
      <c r="G30" s="9">
        <f>CHOOSE(MATCH('Assumptions'!$C$3,{"Bear";"Base";"Bull"},0),'Assumptions'!G18,'Assumptions'!G19,'Assumptions'!G20)</f>
        <v/>
      </c>
      <c r="H30" s="9">
        <f>CHOOSE(MATCH('Assumptions'!$C$3,{"Bear";"Base";"Bull"},0),'Assumptions'!H18,'Assumptions'!H19,'Assumptions'!H20)</f>
        <v/>
      </c>
      <c r="I30" s="9">
        <f>CHOOSE(MATCH('Assumptions'!$C$3,{"Bear";"Base";"Bull"},0),'Assumptions'!I18,'Assumptions'!I19,'Assumptions'!I20)</f>
        <v/>
      </c>
      <c r="J30" s="9">
        <f>CHOOSE(MATCH('Assumptions'!$C$3,{"Bear";"Base";"Bull"},0),'Assumptions'!J18,'Assumptions'!J19,'Assumptions'!J20)</f>
        <v/>
      </c>
    </row>
    <row r="31">
      <c r="B31" t="inlineStr">
        <is>
          <t>Exit EV/EBITDA multiple</t>
        </is>
      </c>
      <c r="C31" s="4">
        <f>CHOOSE(MATCH('Assumptions'!$C$3,{"Bear";"Base";"Bull"},0),'Assumptions'!C21,'Assumptions'!C22,'Assumptions'!C23)</f>
        <v/>
      </c>
    </row>
    <row r="33">
      <c r="A33" s="1" t="inlineStr">
        <is>
          <t>Operating and financing drivers (same in every scenario)</t>
        </is>
      </c>
    </row>
    <row r="34">
      <c r="B34" t="inlineStr">
        <is>
          <t>Inventory days (on cost of sales)</t>
        </is>
      </c>
      <c r="C34" s="10" t="n">
        <v>24.5</v>
      </c>
    </row>
    <row r="35">
      <c r="B35" t="inlineStr">
        <is>
          <t>Receivable days (on revenue)</t>
        </is>
      </c>
      <c r="C35" s="10" t="n">
        <v>11.8</v>
      </c>
    </row>
    <row r="36">
      <c r="B36" t="inlineStr">
        <is>
          <t>Payable days (on cost of sales)</t>
        </is>
      </c>
      <c r="C36" s="10" t="n">
        <v>120</v>
      </c>
    </row>
    <row r="37">
      <c r="B37" t="inlineStr">
        <is>
          <t>PP&amp;E depreciation rate (of opening PP&amp;E)</t>
        </is>
      </c>
      <c r="C37" s="7" t="n">
        <v>0.1423</v>
      </c>
    </row>
    <row r="38">
      <c r="B38" t="inlineStr">
        <is>
          <t>ROU depreciation rate (of opening ROU)</t>
        </is>
      </c>
      <c r="C38" s="7" t="n">
        <v>0.1761</v>
      </c>
    </row>
    <row r="39">
      <c r="B39" t="inlineStr">
        <is>
          <t>Corporation tax rate</t>
        </is>
      </c>
      <c r="C39" s="7" t="n">
        <v>0.25</v>
      </c>
    </row>
    <row r="40">
      <c r="B40" t="inlineStr">
        <is>
          <t>Dividend payout ratio (of net income)</t>
        </is>
      </c>
      <c r="C40" s="7" t="n">
        <v>0.5</v>
      </c>
    </row>
    <row r="41">
      <c r="B41" t="inlineStr">
        <is>
          <t>Minimum cash balance (£m)</t>
        </is>
      </c>
      <c r="C41" s="11" t="n">
        <v>50</v>
      </c>
    </row>
    <row r="42">
      <c r="B42" t="inlineStr">
        <is>
          <t>Days in year (working capital basis)</t>
        </is>
      </c>
      <c r="C42" s="10" t="n">
        <v>365</v>
      </c>
    </row>
    <row r="43">
      <c r="B43" t="inlineStr">
        <is>
          <t>RCF interest rate (risk-free + ~150bp, estimate)</t>
        </is>
      </c>
      <c r="C43" s="7" t="n">
        <v>0.055</v>
      </c>
    </row>
    <row r="44">
      <c r="B44" t="inlineStr">
        <is>
          <t>Revolver interest rate (charged in the debt schedule)</t>
        </is>
      </c>
      <c r="C44" s="9">
        <f>'Assumptions'!$C$43</f>
        <v/>
      </c>
    </row>
    <row r="45">
      <c r="B45" t="inlineStr">
        <is>
          <t>Risk-free rate (UK 10-year gilt, estimate)</t>
        </is>
      </c>
      <c r="C45" s="7" t="n">
        <v>0.04</v>
      </c>
    </row>
    <row r="46">
      <c r="B46" t="inlineStr">
        <is>
          <t>Equity risk premium (UK, estimate)</t>
        </is>
      </c>
      <c r="C46" s="7" t="n">
        <v>0.055</v>
      </c>
    </row>
    <row r="47">
      <c r="B47" t="inlineStr">
        <is>
          <t>Levered equity beta (estimate)</t>
        </is>
      </c>
      <c r="C47" s="10" t="n">
        <v>0.9</v>
      </c>
    </row>
    <row r="48">
      <c r="B48" t="inlineStr">
        <is>
          <t>Debt weight in WACC (incl. leases)</t>
        </is>
      </c>
      <c r="C48" s="7" t="n">
        <v>0.2075</v>
      </c>
    </row>
    <row r="49">
      <c r="B49" t="inlineStr">
        <is>
          <t>Perpetuity growth rate</t>
        </is>
      </c>
      <c r="C49" s="7" t="n">
        <v>0.02</v>
      </c>
    </row>
    <row r="51">
      <c r="A51" s="1" t="inlineStr">
        <is>
          <t>Rates derived from the filings (formulas off Historicals)</t>
        </is>
      </c>
    </row>
    <row r="52">
      <c r="B52" t="inlineStr">
        <is>
          <t>FY2025 interest on lease liabilities (FY2025 AR p.128)</t>
        </is>
      </c>
      <c r="C52" s="11" t="n">
        <v>16.7</v>
      </c>
    </row>
    <row r="53">
      <c r="B53" t="inlineStr">
        <is>
          <t>IFRS 16 lease discount rate (= FY2025 lease interest / FY2024 liability)</t>
        </is>
      </c>
      <c r="C53" s="9">
        <f>'Assumptions'!$C$52/'Historicals'!D30</f>
        <v/>
      </c>
    </row>
    <row r="54">
      <c r="B54" t="inlineStr">
        <is>
          <t>Undiscounted lease cash flows, total (FY2025 AR p.154)</t>
        </is>
      </c>
      <c r="C54" s="11" t="n">
        <v>582.3</v>
      </c>
    </row>
    <row r="55">
      <c r="B55" t="inlineStr">
        <is>
          <t>Undiscounted lease cash flows, &lt; 1 year (FY2025 AR p.154)</t>
        </is>
      </c>
      <c r="C55" s="11" t="n">
        <v>79.09999999999999</v>
      </c>
    </row>
    <row r="56">
      <c r="B56" t="inlineStr">
        <is>
          <t>Implied average lease term, years (= total / &lt; 1 year)</t>
        </is>
      </c>
      <c r="C56" s="12">
        <f>'Assumptions'!$C$54/'Assumptions'!$C$55</f>
        <v/>
      </c>
    </row>
    <row r="57">
      <c r="B57" t="inlineStr">
        <is>
          <t>Principal repaid on in-year lease additions (empirical fit)</t>
        </is>
      </c>
      <c r="C57" s="7" t="n">
        <v>0.0924</v>
      </c>
    </row>
    <row r="58">
      <c r="B58" t="inlineStr">
        <is>
          <t>Intangible share of total capex (FY2024-25 implied additions / capex)</t>
        </is>
      </c>
      <c r="C58" s="9">
        <f>(('Historicals'!D22-'Historicals'!C22+'Historicals'!D8)+('Historicals'!E22-'Historicals'!D22+'Historicals'!E8))/('Historicals'!D38+'Historicals'!E38)</f>
        <v/>
      </c>
    </row>
    <row r="59">
      <c r="B59" t="inlineStr">
        <is>
          <t>PP&amp;E share of total capex (= 1 - intangible share)</t>
        </is>
      </c>
      <c r="C59" s="9">
        <f>1-'Assumptions'!$C$58</f>
        <v/>
      </c>
    </row>
    <row r="60">
      <c r="B60" t="inlineStr">
        <is>
          <t>Amortisation rate (= FY2025 amortisation / FY2024 intangibles)</t>
        </is>
      </c>
      <c r="C60" s="9">
        <f>'Historicals'!E8/'Historicals'!D22</f>
        <v/>
      </c>
    </row>
    <row r="61">
      <c r="B61" t="inlineStr">
        <is>
          <t>Cost of debt for the WACC (RCF/lease blend, gross-weighted)</t>
        </is>
      </c>
      <c r="C61" s="9">
        <f>('Historicals'!E31*'Assumptions'!$C$43+'Historicals'!E30*'Assumptions'!$C$53)/('Historicals'!E31+'Historicals'!E30)</f>
        <v/>
      </c>
    </row>
    <row r="63">
      <c r="A63" s="1" t="inlineStr">
        <is>
          <t>LBO sponsor assumptions (conventions, not sourced figures)</t>
        </is>
      </c>
    </row>
    <row r="64">
      <c r="B64" t="inlineStr">
        <is>
          <t>Sponsor entry leverage (x EBITDA, total net debt INCLUDING leases)</t>
        </is>
      </c>
      <c r="C64" s="8" t="n">
        <v>4</v>
      </c>
    </row>
    <row r="65">
      <c r="B65" t="inlineStr">
        <is>
          <t>Sponsor IRR hurdle (conventional underwriting hurdle)</t>
        </is>
      </c>
      <c r="C65" s="7" t="n">
        <v>0.2</v>
      </c>
    </row>
  </sheetData>
  <dataValidations count="1">
    <dataValidation sqref="C3" showDropDown="0" showInputMessage="0" showErrorMessage="0" allowBlank="0" error="Choose Bear, Base or Bull." prompt="Toggling this cell re-drives every forecast in the workbook." type="list">
      <formula1>"Bear,Base,Bull"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Historicals — Greggs plc, £m as reported (post-IFRS 16)</t>
        </is>
      </c>
    </row>
    <row r="2">
      <c r="C2" s="5" t="inlineStr">
        <is>
          <t>FY2023</t>
        </is>
      </c>
      <c r="D2" s="5" t="inlineStr">
        <is>
          <t>FY2024</t>
        </is>
      </c>
      <c r="E2" s="5" t="inlineStr">
        <is>
          <t>FY2025</t>
        </is>
      </c>
    </row>
    <row r="3">
      <c r="B3" t="inlineStr">
        <is>
          <t>Revenue</t>
        </is>
      </c>
      <c r="C3" s="11" t="n">
        <v>1809.6</v>
      </c>
      <c r="D3" s="11" t="n">
        <v>2014.4</v>
      </c>
      <c r="E3" s="11" t="n">
        <v>2151.2</v>
      </c>
      <c r="L3" t="inlineStr">
        <is>
          <t>FY2023 AR p.119 / FY2024 AR p.128 / FY2025 AR p.128</t>
        </is>
      </c>
    </row>
    <row r="4">
      <c r="B4" t="inlineStr">
        <is>
          <t>Cost of sales</t>
        </is>
      </c>
      <c r="C4" s="11" t="n">
        <v>710.5</v>
      </c>
      <c r="D4" s="11" t="n">
        <v>770.8</v>
      </c>
      <c r="E4" s="11" t="n">
        <v>829.1</v>
      </c>
      <c r="L4" t="inlineStr">
        <is>
          <t>FY2023 AR p.119 / FY2024 AR p.128 / FY2025 AR p.128</t>
        </is>
      </c>
    </row>
    <row r="5">
      <c r="B5" t="inlineStr">
        <is>
          <t>Operating costs (excl. D&amp;A and impairment)</t>
        </is>
      </c>
      <c r="C5" s="11" t="n">
        <v>777.9</v>
      </c>
      <c r="D5" s="11" t="n">
        <v>889.2</v>
      </c>
      <c r="E5" s="11" t="n">
        <v>970.9</v>
      </c>
      <c r="L5" t="inlineStr">
        <is>
          <t>FY2023 AR p.119, p.124 (D&amp;A and impairment) / FY2024 AR p.128, p.147 (D&amp;A and impairment) / FY2025 AR p.128, p.148 (D&amp;A and impairment)</t>
        </is>
      </c>
    </row>
    <row r="6">
      <c r="B6" t="inlineStr">
        <is>
          <t>Depreciation of PP&amp;E (incl. net impairment)</t>
        </is>
      </c>
      <c r="C6" s="11" t="n">
        <v>68</v>
      </c>
      <c r="D6" s="11" t="n">
        <v>79.5</v>
      </c>
      <c r="E6" s="11" t="n">
        <v>94.59999999999999</v>
      </c>
      <c r="L6" t="inlineStr">
        <is>
          <t>FY2023 AR p.124 / FY2024 AR p.147 (Note 3) / FY2025 AR p.148 (Note 3)</t>
        </is>
      </c>
    </row>
    <row r="7">
      <c r="B7" t="inlineStr">
        <is>
          <t>Depreciation of ROU assets (incl. net impairment)</t>
        </is>
      </c>
      <c r="C7" s="11" t="n">
        <v>57</v>
      </c>
      <c r="D7" s="11" t="n">
        <v>61.3</v>
      </c>
      <c r="E7" s="11" t="n">
        <v>68.2</v>
      </c>
      <c r="L7" t="inlineStr">
        <is>
          <t>FY2023 AR p.124 / FY2024 AR p.147 (Note 3) / FY2025 AR p.148 (Note 3)</t>
        </is>
      </c>
    </row>
    <row r="8">
      <c r="B8" t="inlineStr">
        <is>
          <t>Amortisation of intangibles</t>
        </is>
      </c>
      <c r="C8" s="11" t="n">
        <v>3.9</v>
      </c>
      <c r="D8" s="11" t="n">
        <v>4.2</v>
      </c>
      <c r="E8" s="11" t="n">
        <v>4.7</v>
      </c>
      <c r="L8" t="inlineStr">
        <is>
          <t>FY2023 AR p.124 / FY2024 AR p.147 (Note 3) / FY2025 AR p.148 (Note 3)</t>
        </is>
      </c>
    </row>
    <row r="9">
      <c r="B9" t="inlineStr">
        <is>
          <t>Finance costs (incl. lease interest)</t>
        </is>
      </c>
      <c r="C9" s="11" t="n">
        <v>10.1</v>
      </c>
      <c r="D9" s="11" t="n">
        <v>13.6</v>
      </c>
      <c r="E9" s="11" t="n">
        <v>18.1</v>
      </c>
      <c r="L9" t="inlineStr">
        <is>
          <t>FY2024 AR p.128 (2023 comparative) / FY2024 AR p.128 / FY2025 AR p.128</t>
        </is>
      </c>
    </row>
    <row r="10">
      <c r="B10" t="inlineStr">
        <is>
          <t>Finance income</t>
        </is>
      </c>
      <c r="C10" s="11" t="n">
        <v>6.1</v>
      </c>
      <c r="D10" s="11" t="n">
        <v>8.1</v>
      </c>
      <c r="E10" s="11" t="n">
        <v>1.8</v>
      </c>
      <c r="L10" t="inlineStr">
        <is>
          <t>FY2024 AR p.128 (2023 comparative) / FY2024 AR p.128 / FY2025 AR p.128</t>
        </is>
      </c>
    </row>
    <row r="11">
      <c r="B11" t="inlineStr">
        <is>
          <t>Tax expense</t>
        </is>
      </c>
      <c r="C11" s="11" t="n">
        <v>45.8</v>
      </c>
      <c r="D11" s="11" t="n">
        <v>50.5</v>
      </c>
      <c r="E11" s="11" t="n">
        <v>45.2</v>
      </c>
      <c r="L11" t="inlineStr">
        <is>
          <t>FY2023 AR p.119 / FY2024 AR p.128 / FY2025 AR p.128</t>
        </is>
      </c>
    </row>
    <row r="12">
      <c r="B12" t="inlineStr">
        <is>
          <t>Gross profit</t>
        </is>
      </c>
      <c r="C12" s="3">
        <f>'Historicals'!C3-'Historicals'!C4</f>
        <v/>
      </c>
      <c r="D12" s="3">
        <f>'Historicals'!D3-'Historicals'!D4</f>
        <v/>
      </c>
      <c r="E12" s="3">
        <f>'Historicals'!E3-'Historicals'!E4</f>
        <v/>
      </c>
    </row>
    <row r="13">
      <c r="B13" t="inlineStr">
        <is>
          <t>EBITDA</t>
        </is>
      </c>
      <c r="C13" s="3">
        <f>'Historicals'!C12-'Historicals'!C5</f>
        <v/>
      </c>
      <c r="D13" s="3">
        <f>'Historicals'!D12-'Historicals'!D5</f>
        <v/>
      </c>
      <c r="E13" s="3">
        <f>'Historicals'!E12-'Historicals'!E5</f>
        <v/>
      </c>
    </row>
    <row r="14">
      <c r="B14" t="inlineStr">
        <is>
          <t>Total D&amp;A (incl. impairment)</t>
        </is>
      </c>
      <c r="C14" s="3">
        <f>'Historicals'!C6+'Historicals'!C7+'Historicals'!C8</f>
        <v/>
      </c>
      <c r="D14" s="3">
        <f>'Historicals'!D6+'Historicals'!D7+'Historicals'!D8</f>
        <v/>
      </c>
      <c r="E14" s="3">
        <f>'Historicals'!E6+'Historicals'!E7+'Historicals'!E8</f>
        <v/>
      </c>
    </row>
    <row r="15">
      <c r="B15" t="inlineStr">
        <is>
          <t>EBIT (operating profit)</t>
        </is>
      </c>
      <c r="C15" s="3">
        <f>'Historicals'!C13-'Historicals'!C14</f>
        <v/>
      </c>
      <c r="D15" s="3">
        <f>'Historicals'!D13-'Historicals'!D14</f>
        <v/>
      </c>
      <c r="E15" s="3">
        <f>'Historicals'!E13-'Historicals'!E14</f>
        <v/>
      </c>
    </row>
    <row r="16">
      <c r="B16" t="inlineStr">
        <is>
          <t>Profit before tax</t>
        </is>
      </c>
      <c r="C16" s="3">
        <f>'Historicals'!C15+'Historicals'!C10-'Historicals'!C9</f>
        <v/>
      </c>
      <c r="D16" s="3">
        <f>'Historicals'!D15+'Historicals'!D10-'Historicals'!D9</f>
        <v/>
      </c>
      <c r="E16" s="3">
        <f>'Historicals'!E15+'Historicals'!E10-'Historicals'!E9</f>
        <v/>
      </c>
    </row>
    <row r="17">
      <c r="B17" t="inlineStr">
        <is>
          <t>Net income</t>
        </is>
      </c>
      <c r="C17" s="3">
        <f>'Historicals'!C16-'Historicals'!C11</f>
        <v/>
      </c>
      <c r="D17" s="3">
        <f>'Historicals'!D16-'Historicals'!D11</f>
        <v/>
      </c>
      <c r="E17" s="3">
        <f>'Historicals'!E16-'Historicals'!E11</f>
        <v/>
      </c>
    </row>
    <row r="19">
      <c r="A19" s="1" t="inlineStr">
        <is>
          <t>Balance sheet</t>
        </is>
      </c>
    </row>
    <row r="20">
      <c r="B20" t="inlineStr">
        <is>
          <t>Property, plant and equipment</t>
        </is>
      </c>
      <c r="C20" s="11" t="n">
        <v>510.3</v>
      </c>
      <c r="D20" s="11" t="n">
        <v>664.7</v>
      </c>
      <c r="E20" s="11" t="n">
        <v>832.1</v>
      </c>
      <c r="L20" t="inlineStr">
        <is>
          <t>FY2023 AR p.120 / FY2024 AR p.129 / FY2025 AR p.129</t>
        </is>
      </c>
    </row>
    <row r="21">
      <c r="B21" t="inlineStr">
        <is>
          <t>Right-of-use assets</t>
        </is>
      </c>
      <c r="C21" s="11" t="n">
        <v>296.6</v>
      </c>
      <c r="D21" s="11" t="n">
        <v>387.2</v>
      </c>
      <c r="E21" s="11" t="n">
        <v>413</v>
      </c>
      <c r="L21" t="inlineStr">
        <is>
          <t>FY2023 AR p.120 / FY2024 AR p.129 / FY2025 AR p.129</t>
        </is>
      </c>
    </row>
    <row r="22">
      <c r="B22" t="inlineStr">
        <is>
          <t>Intangible assets</t>
        </is>
      </c>
      <c r="C22" s="11" t="n">
        <v>18.3</v>
      </c>
      <c r="D22" s="11" t="n">
        <v>24.9</v>
      </c>
      <c r="E22" s="11" t="n">
        <v>43</v>
      </c>
      <c r="L22" t="inlineStr">
        <is>
          <t>FY2023 AR p.120 / FY2024 AR p.129 / FY2025 AR p.129</t>
        </is>
      </c>
    </row>
    <row r="23">
      <c r="B23" t="inlineStr">
        <is>
          <t>Inventories</t>
        </is>
      </c>
      <c r="C23" s="11" t="n">
        <v>48.8</v>
      </c>
      <c r="D23" s="11" t="n">
        <v>55.2</v>
      </c>
      <c r="E23" s="11" t="n">
        <v>55.7</v>
      </c>
      <c r="L23" t="inlineStr">
        <is>
          <t>FY2023 AR p.120 / FY2024 AR p.129 / FY2025 AR p.129</t>
        </is>
      </c>
    </row>
    <row r="24">
      <c r="B24" t="inlineStr">
        <is>
          <t>Trade and other receivables</t>
        </is>
      </c>
      <c r="C24" s="11" t="n">
        <v>53.8</v>
      </c>
      <c r="D24" s="11" t="n">
        <v>62.4</v>
      </c>
      <c r="E24" s="11" t="n">
        <v>69.40000000000001</v>
      </c>
      <c r="L24" t="inlineStr">
        <is>
          <t>FY2023 AR p.120 / FY2024 AR p.129 / FY2025 AR p.129</t>
        </is>
      </c>
    </row>
    <row r="25">
      <c r="B25" t="inlineStr">
        <is>
          <t>Cash and cash equivalents</t>
        </is>
      </c>
      <c r="C25" s="11" t="n">
        <v>195.3</v>
      </c>
      <c r="D25" s="11" t="n">
        <v>125.3</v>
      </c>
      <c r="E25" s="11" t="n">
        <v>70.8</v>
      </c>
      <c r="L25" t="inlineStr">
        <is>
          <t>FY2023 AR p.120 / FY2024 AR p.129 / FY2025 AR p.129</t>
        </is>
      </c>
    </row>
    <row r="26">
      <c r="B26" t="inlineStr">
        <is>
          <t>Other assets</t>
        </is>
      </c>
      <c r="C26" s="11" t="n">
        <v>6.6</v>
      </c>
      <c r="D26" s="11" t="n">
        <v>0</v>
      </c>
      <c r="E26" s="11" t="n">
        <v>0</v>
      </c>
      <c r="L26" t="inlineStr">
        <is>
          <t>FY2023 AR p.120 / FY2024 AR p.129 / FY2025 AR p.129</t>
        </is>
      </c>
    </row>
    <row r="27">
      <c r="B27" t="inlineStr">
        <is>
          <t>Total assets</t>
        </is>
      </c>
      <c r="C27" s="3">
        <f>'Historicals'!C20+'Historicals'!C21+'Historicals'!C22+'Historicals'!C23+'Historicals'!C24+'Historicals'!C25+'Historicals'!C26</f>
        <v/>
      </c>
      <c r="D27" s="3">
        <f>'Historicals'!D20+'Historicals'!D21+'Historicals'!D22+'Historicals'!D23+'Historicals'!D24+'Historicals'!D25+'Historicals'!D26</f>
        <v/>
      </c>
      <c r="E27" s="3">
        <f>'Historicals'!E20+'Historicals'!E21+'Historicals'!E22+'Historicals'!E23+'Historicals'!E24+'Historicals'!E25+'Historicals'!E26</f>
        <v/>
      </c>
    </row>
    <row r="29">
      <c r="B29" t="inlineStr">
        <is>
          <t>Trade and other payables</t>
        </is>
      </c>
      <c r="C29" s="11" t="n">
        <v>211.1</v>
      </c>
      <c r="D29" s="11" t="n">
        <v>243.9</v>
      </c>
      <c r="E29" s="11" t="n">
        <v>272.8</v>
      </c>
      <c r="L29" t="inlineStr">
        <is>
          <t>FY2023 AR p.120 / FY2024 AR p.129 / FY2025 AR p.129</t>
        </is>
      </c>
    </row>
    <row r="30">
      <c r="B30" t="inlineStr">
        <is>
          <t>Lease liabilities</t>
        </is>
      </c>
      <c r="C30" s="11" t="n">
        <v>319.6</v>
      </c>
      <c r="D30" s="11" t="n">
        <v>415.1</v>
      </c>
      <c r="E30" s="11" t="n">
        <v>449.8</v>
      </c>
      <c r="L30" t="inlineStr">
        <is>
          <t>FY2023 AR p.120 / FY2024 AR p.129 / FY2025 AR p.129</t>
        </is>
      </c>
    </row>
    <row r="31">
      <c r="B31" t="inlineStr">
        <is>
          <t>Borrowings (RCF drawn)</t>
        </is>
      </c>
      <c r="C31" s="11" t="n">
        <v>0</v>
      </c>
      <c r="D31" s="11" t="n">
        <v>0</v>
      </c>
      <c r="E31" s="11" t="n">
        <v>25</v>
      </c>
      <c r="L31" t="inlineStr">
        <is>
          <t>FY2023 AR p.120 / FY2024 AR p.129 / FY2025 AR p.129</t>
        </is>
      </c>
    </row>
    <row r="32">
      <c r="B32" t="inlineStr">
        <is>
          <t>Other liabilities</t>
        </is>
      </c>
      <c r="C32" s="11" t="n">
        <v>68.09999999999999</v>
      </c>
      <c r="D32" s="11" t="n">
        <v>90.2</v>
      </c>
      <c r="E32" s="11" t="n">
        <v>111.2</v>
      </c>
      <c r="L32" t="inlineStr">
        <is>
          <t>FY2023 AR p.120 / FY2024 AR p.129 / FY2025 AR p.129</t>
        </is>
      </c>
    </row>
    <row r="33">
      <c r="B33" t="inlineStr">
        <is>
          <t>Total equity</t>
        </is>
      </c>
      <c r="C33" s="11" t="n">
        <v>530.9</v>
      </c>
      <c r="D33" s="11" t="n">
        <v>570.5</v>
      </c>
      <c r="E33" s="11" t="n">
        <v>625.2</v>
      </c>
      <c r="L33" t="inlineStr">
        <is>
          <t>FY2023 AR p.120 / FY2024 AR p.129 / FY2025 AR p.129</t>
        </is>
      </c>
    </row>
    <row r="34">
      <c r="B34" t="inlineStr">
        <is>
          <t>Total liabilities and equity</t>
        </is>
      </c>
      <c r="C34" s="3">
        <f>'Historicals'!C29+'Historicals'!C30+'Historicals'!C31+'Historicals'!C32+'Historicals'!C33</f>
        <v/>
      </c>
      <c r="D34" s="3">
        <f>'Historicals'!D29+'Historicals'!D30+'Historicals'!D31+'Historicals'!D32+'Historicals'!D33</f>
        <v/>
      </c>
      <c r="E34" s="3">
        <f>'Historicals'!E29+'Historicals'!E30+'Historicals'!E31+'Historicals'!E32+'Historicals'!E33</f>
        <v/>
      </c>
    </row>
    <row r="35">
      <c r="B35" t="inlineStr">
        <is>
          <t>Net working capital</t>
        </is>
      </c>
      <c r="C35" s="3">
        <f>'Historicals'!C23+'Historicals'!C24-'Historicals'!C29</f>
        <v/>
      </c>
      <c r="D35" s="3">
        <f>'Historicals'!D23+'Historicals'!D24-'Historicals'!D29</f>
        <v/>
      </c>
      <c r="E35" s="3">
        <f>'Historicals'!E23+'Historicals'!E24-'Historicals'!E29</f>
        <v/>
      </c>
    </row>
    <row r="37">
      <c r="A37" s="1" t="inlineStr">
        <is>
          <t>Cash flow</t>
        </is>
      </c>
    </row>
    <row r="38">
      <c r="B38" t="inlineStr">
        <is>
          <t>Capital expenditure (total cash, PP&amp;E + intangibles)</t>
        </is>
      </c>
      <c r="C38" s="11" t="n">
        <v>198.1</v>
      </c>
      <c r="D38" s="11" t="n">
        <v>240.9</v>
      </c>
      <c r="E38" s="11" t="n">
        <v>285.4</v>
      </c>
      <c r="L38" t="inlineStr">
        <is>
          <t>FY2023 AR p.123 / FY2024 AR p.132 / FY2025 AR p.132</t>
        </is>
      </c>
    </row>
    <row r="39">
      <c r="B39" t="inlineStr">
        <is>
          <t>Repayment of lease principal</t>
        </is>
      </c>
      <c r="C39" s="11" t="n">
        <v>53.7</v>
      </c>
      <c r="D39" s="11" t="n">
        <v>56.7</v>
      </c>
      <c r="E39" s="11" t="n">
        <v>63.3</v>
      </c>
      <c r="L39" t="inlineStr">
        <is>
          <t>FY2023 AR p.123 / FY2024 AR p.132 / FY2025 AR p.132</t>
        </is>
      </c>
    </row>
    <row r="40">
      <c r="B40" t="inlineStr">
        <is>
          <t>New right-of-use asset additions</t>
        </is>
      </c>
      <c r="C40" s="11" t="n">
        <v>70.3</v>
      </c>
      <c r="D40" s="11" t="n">
        <v>143.8</v>
      </c>
      <c r="E40" s="11" t="n">
        <v>74.8</v>
      </c>
      <c r="L40" t="inlineStr">
        <is>
          <t>FY2023 AR p.144 (Note 11) / FY2024 AR p.153 (Note 11) / FY2025 AR p.154 (Note 11)</t>
        </is>
      </c>
    </row>
    <row r="41">
      <c r="B41" t="inlineStr">
        <is>
          <t>Dividends paid</t>
        </is>
      </c>
      <c r="C41" s="11" t="n">
        <v>60.8</v>
      </c>
      <c r="D41" s="11" t="n">
        <v>106.8</v>
      </c>
      <c r="E41" s="11" t="n">
        <v>70.3</v>
      </c>
      <c r="L41" t="inlineStr">
        <is>
          <t>FY2023 AR p.123 / FY2024 AR p.132 / FY2025 AR p.132</t>
        </is>
      </c>
    </row>
    <row r="43">
      <c r="A43" s="1" t="inlineStr">
        <is>
          <t>Share count</t>
        </is>
      </c>
    </row>
    <row r="44">
      <c r="B44" t="inlineStr">
        <is>
          <t>Weighted average shares in issue, diluted (m)</t>
        </is>
      </c>
      <c r="E44" s="10" t="n">
        <v>102.482895</v>
      </c>
      <c r="L44" t="inlineStr">
        <is>
          <t>FY2025 AR p.152 (Note 9)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Income statement — forecast, £m</t>
        </is>
      </c>
    </row>
    <row r="2">
      <c r="F2" s="5">
        <f>'Assumptions'!F$2</f>
        <v/>
      </c>
      <c r="G2" s="5">
        <f>'Assumptions'!G$2</f>
        <v/>
      </c>
      <c r="H2" s="5">
        <f>'Assumptions'!H$2</f>
        <v/>
      </c>
      <c r="I2" s="5">
        <f>'Assumptions'!I$2</f>
        <v/>
      </c>
      <c r="J2" s="5">
        <f>'Assumptions'!J$2</f>
        <v/>
      </c>
    </row>
    <row r="3">
      <c r="B3" t="inlineStr">
        <is>
          <t>Revenue</t>
        </is>
      </c>
      <c r="F3" s="3">
        <f>'Historicals'!E3*(1+'Assumptions'!F26)</f>
        <v/>
      </c>
      <c r="G3" s="3">
        <f>'IS'!F3*(1+'Assumptions'!G26)</f>
        <v/>
      </c>
      <c r="H3" s="3">
        <f>'IS'!G3*(1+'Assumptions'!H26)</f>
        <v/>
      </c>
      <c r="I3" s="3">
        <f>'IS'!H3*(1+'Assumptions'!I26)</f>
        <v/>
      </c>
      <c r="J3" s="3">
        <f>'IS'!I3*(1+'Assumptions'!J26)</f>
        <v/>
      </c>
    </row>
    <row r="4">
      <c r="B4" t="inlineStr">
        <is>
          <t>Gross profit</t>
        </is>
      </c>
      <c r="F4" s="3">
        <f>'IS'!F3*'Assumptions'!F27</f>
        <v/>
      </c>
      <c r="G4" s="3">
        <f>'IS'!G3*'Assumptions'!G27</f>
        <v/>
      </c>
      <c r="H4" s="3">
        <f>'IS'!H3*'Assumptions'!H27</f>
        <v/>
      </c>
      <c r="I4" s="3">
        <f>'IS'!I3*'Assumptions'!I27</f>
        <v/>
      </c>
      <c r="J4" s="3">
        <f>'IS'!J3*'Assumptions'!J27</f>
        <v/>
      </c>
    </row>
    <row r="5">
      <c r="B5" t="inlineStr">
        <is>
          <t>Cost of sales (memo: revenue less gross profit)</t>
        </is>
      </c>
      <c r="F5" s="3">
        <f>'IS'!F3-'IS'!F4</f>
        <v/>
      </c>
      <c r="G5" s="3">
        <f>'IS'!G3-'IS'!G4</f>
        <v/>
      </c>
      <c r="H5" s="3">
        <f>'IS'!H3-'IS'!H4</f>
        <v/>
      </c>
      <c r="I5" s="3">
        <f>'IS'!I3-'IS'!I4</f>
        <v/>
      </c>
      <c r="J5" s="3">
        <f>'IS'!J3-'IS'!J4</f>
        <v/>
      </c>
    </row>
    <row r="6">
      <c r="B6" t="inlineStr">
        <is>
          <t>Operating costs (excl. D&amp;A)</t>
        </is>
      </c>
      <c r="F6" s="3">
        <f>'IS'!F3*'Assumptions'!F28</f>
        <v/>
      </c>
      <c r="G6" s="3">
        <f>'IS'!G3*'Assumptions'!G28</f>
        <v/>
      </c>
      <c r="H6" s="3">
        <f>'IS'!H3*'Assumptions'!H28</f>
        <v/>
      </c>
      <c r="I6" s="3">
        <f>'IS'!I3*'Assumptions'!I28</f>
        <v/>
      </c>
      <c r="J6" s="3">
        <f>'IS'!J3*'Assumptions'!J28</f>
        <v/>
      </c>
    </row>
    <row r="7">
      <c r="B7" t="inlineStr">
        <is>
          <t>EBITDA</t>
        </is>
      </c>
      <c r="F7" s="3">
        <f>'IS'!F4-'IS'!F6</f>
        <v/>
      </c>
      <c r="G7" s="3">
        <f>'IS'!G4-'IS'!G6</f>
        <v/>
      </c>
      <c r="H7" s="3">
        <f>'IS'!H4-'IS'!H6</f>
        <v/>
      </c>
      <c r="I7" s="3">
        <f>'IS'!I4-'IS'!I6</f>
        <v/>
      </c>
      <c r="J7" s="3">
        <f>'IS'!J4-'IS'!J6</f>
        <v/>
      </c>
    </row>
    <row r="8">
      <c r="B8" t="inlineStr">
        <is>
          <t>Depreciation of PP&amp;E</t>
        </is>
      </c>
      <c r="F8" s="13">
        <f>'Schedules'!F13</f>
        <v/>
      </c>
      <c r="G8" s="13">
        <f>'Schedules'!G13</f>
        <v/>
      </c>
      <c r="H8" s="13">
        <f>'Schedules'!H13</f>
        <v/>
      </c>
      <c r="I8" s="13">
        <f>'Schedules'!I13</f>
        <v/>
      </c>
      <c r="J8" s="13">
        <f>'Schedules'!J13</f>
        <v/>
      </c>
    </row>
    <row r="9">
      <c r="B9" t="inlineStr">
        <is>
          <t>Depreciation of ROU assets</t>
        </is>
      </c>
      <c r="F9" s="13">
        <f>'Schedules'!F26</f>
        <v/>
      </c>
      <c r="G9" s="13">
        <f>'Schedules'!G26</f>
        <v/>
      </c>
      <c r="H9" s="13">
        <f>'Schedules'!H26</f>
        <v/>
      </c>
      <c r="I9" s="13">
        <f>'Schedules'!I26</f>
        <v/>
      </c>
      <c r="J9" s="13">
        <f>'Schedules'!J26</f>
        <v/>
      </c>
    </row>
    <row r="10">
      <c r="B10" t="inlineStr">
        <is>
          <t>Amortisation</t>
        </is>
      </c>
      <c r="F10" s="13">
        <f>'Schedules'!F19</f>
        <v/>
      </c>
      <c r="G10" s="13">
        <f>'Schedules'!G19</f>
        <v/>
      </c>
      <c r="H10" s="13">
        <f>'Schedules'!H19</f>
        <v/>
      </c>
      <c r="I10" s="13">
        <f>'Schedules'!I19</f>
        <v/>
      </c>
      <c r="J10" s="13">
        <f>'Schedules'!J19</f>
        <v/>
      </c>
    </row>
    <row r="11">
      <c r="B11" t="inlineStr">
        <is>
          <t>Total depreciation and amortisation</t>
        </is>
      </c>
      <c r="F11" s="3">
        <f>'IS'!F8+'IS'!F9+'IS'!F10</f>
        <v/>
      </c>
      <c r="G11" s="3">
        <f>'IS'!G8+'IS'!G9+'IS'!G10</f>
        <v/>
      </c>
      <c r="H11" s="3">
        <f>'IS'!H8+'IS'!H9+'IS'!H10</f>
        <v/>
      </c>
      <c r="I11" s="3">
        <f>'IS'!I8+'IS'!I9+'IS'!I10</f>
        <v/>
      </c>
      <c r="J11" s="3">
        <f>'IS'!J8+'IS'!J9+'IS'!J10</f>
        <v/>
      </c>
    </row>
    <row r="12">
      <c r="B12" t="inlineStr">
        <is>
          <t>EBIT</t>
        </is>
      </c>
      <c r="F12" s="3">
        <f>'IS'!F7-'IS'!F11</f>
        <v/>
      </c>
      <c r="G12" s="3">
        <f>'IS'!G7-'IS'!G11</f>
        <v/>
      </c>
      <c r="H12" s="3">
        <f>'IS'!H7-'IS'!H11</f>
        <v/>
      </c>
      <c r="I12" s="3">
        <f>'IS'!I7-'IS'!I11</f>
        <v/>
      </c>
      <c r="J12" s="3">
        <f>'IS'!J7-'IS'!J11</f>
        <v/>
      </c>
    </row>
    <row r="13">
      <c r="B13" t="inlineStr">
        <is>
          <t>Lease interest</t>
        </is>
      </c>
      <c r="F13" s="13">
        <f>'Schedules'!F29</f>
        <v/>
      </c>
      <c r="G13" s="13">
        <f>'Schedules'!G29</f>
        <v/>
      </c>
      <c r="H13" s="13">
        <f>'Schedules'!H29</f>
        <v/>
      </c>
      <c r="I13" s="13">
        <f>'Schedules'!I29</f>
        <v/>
      </c>
      <c r="J13" s="13">
        <f>'Schedules'!J29</f>
        <v/>
      </c>
    </row>
    <row r="14">
      <c r="B14" t="inlineStr">
        <is>
          <t>Interest on borrowings</t>
        </is>
      </c>
      <c r="F14" s="13">
        <f>'Schedules'!F43</f>
        <v/>
      </c>
      <c r="G14" s="13">
        <f>'Schedules'!G43</f>
        <v/>
      </c>
      <c r="H14" s="13">
        <f>'Schedules'!H43</f>
        <v/>
      </c>
      <c r="I14" s="13">
        <f>'Schedules'!I43</f>
        <v/>
      </c>
      <c r="J14" s="13">
        <f>'Schedules'!J43</f>
        <v/>
      </c>
    </row>
    <row r="15">
      <c r="B15" t="inlineStr">
        <is>
          <t>Profit before tax</t>
        </is>
      </c>
      <c r="F15" s="3">
        <f>'IS'!F12-'IS'!F13-'IS'!F14</f>
        <v/>
      </c>
      <c r="G15" s="3">
        <f>'IS'!G12-'IS'!G13-'IS'!G14</f>
        <v/>
      </c>
      <c r="H15" s="3">
        <f>'IS'!H12-'IS'!H13-'IS'!H14</f>
        <v/>
      </c>
      <c r="I15" s="3">
        <f>'IS'!I12-'IS'!I13-'IS'!I14</f>
        <v/>
      </c>
      <c r="J15" s="3">
        <f>'IS'!J12-'IS'!J13-'IS'!J14</f>
        <v/>
      </c>
    </row>
    <row r="16">
      <c r="B16" t="inlineStr">
        <is>
          <t>Tax charge (nil in a loss year)</t>
        </is>
      </c>
      <c r="F16" s="3">
        <f>MAX('IS'!F15,0)*'Assumptions'!$C$39</f>
        <v/>
      </c>
      <c r="G16" s="3">
        <f>MAX('IS'!G15,0)*'Assumptions'!$C$39</f>
        <v/>
      </c>
      <c r="H16" s="3">
        <f>MAX('IS'!H15,0)*'Assumptions'!$C$39</f>
        <v/>
      </c>
      <c r="I16" s="3">
        <f>MAX('IS'!I15,0)*'Assumptions'!$C$39</f>
        <v/>
      </c>
      <c r="J16" s="3">
        <f>MAX('IS'!J15,0)*'Assumptions'!$C$39</f>
        <v/>
      </c>
    </row>
    <row r="17">
      <c r="B17" t="inlineStr">
        <is>
          <t>Net income</t>
        </is>
      </c>
      <c r="F17" s="3">
        <f>'IS'!F15-'IS'!F16</f>
        <v/>
      </c>
      <c r="G17" s="3">
        <f>'IS'!G15-'IS'!G16</f>
        <v/>
      </c>
      <c r="H17" s="3">
        <f>'IS'!H15-'IS'!H16</f>
        <v/>
      </c>
      <c r="I17" s="3">
        <f>'IS'!I15-'IS'!I16</f>
        <v/>
      </c>
      <c r="J17" s="3">
        <f>'IS'!J15-'IS'!J16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Balance sheet — forecast, £m</t>
        </is>
      </c>
    </row>
    <row r="2">
      <c r="F2" s="5">
        <f>'Assumptions'!F$2</f>
        <v/>
      </c>
      <c r="G2" s="5">
        <f>'Assumptions'!G$2</f>
        <v/>
      </c>
      <c r="H2" s="5">
        <f>'Assumptions'!H$2</f>
        <v/>
      </c>
      <c r="I2" s="5">
        <f>'Assumptions'!I$2</f>
        <v/>
      </c>
      <c r="J2" s="5">
        <f>'Assumptions'!J$2</f>
        <v/>
      </c>
    </row>
    <row r="3">
      <c r="B3" t="inlineStr">
        <is>
          <t>Property, plant and equipment</t>
        </is>
      </c>
      <c r="F3" s="13">
        <f>'Schedules'!F14</f>
        <v/>
      </c>
      <c r="G3" s="13">
        <f>'Schedules'!G14</f>
        <v/>
      </c>
      <c r="H3" s="13">
        <f>'Schedules'!H14</f>
        <v/>
      </c>
      <c r="I3" s="13">
        <f>'Schedules'!I14</f>
        <v/>
      </c>
      <c r="J3" s="13">
        <f>'Schedules'!J14</f>
        <v/>
      </c>
    </row>
    <row r="4">
      <c r="B4" t="inlineStr">
        <is>
          <t>Right-of-use assets</t>
        </is>
      </c>
      <c r="F4" s="13">
        <f>'Schedules'!F27</f>
        <v/>
      </c>
      <c r="G4" s="13">
        <f>'Schedules'!G27</f>
        <v/>
      </c>
      <c r="H4" s="13">
        <f>'Schedules'!H27</f>
        <v/>
      </c>
      <c r="I4" s="13">
        <f>'Schedules'!I27</f>
        <v/>
      </c>
      <c r="J4" s="13">
        <f>'Schedules'!J27</f>
        <v/>
      </c>
    </row>
    <row r="5">
      <c r="B5" t="inlineStr">
        <is>
          <t>Intangible assets</t>
        </is>
      </c>
      <c r="F5" s="13">
        <f>'Schedules'!F20</f>
        <v/>
      </c>
      <c r="G5" s="13">
        <f>'Schedules'!G20</f>
        <v/>
      </c>
      <c r="H5" s="13">
        <f>'Schedules'!H20</f>
        <v/>
      </c>
      <c r="I5" s="13">
        <f>'Schedules'!I20</f>
        <v/>
      </c>
      <c r="J5" s="13">
        <f>'Schedules'!J20</f>
        <v/>
      </c>
    </row>
    <row r="6">
      <c r="B6" t="inlineStr">
        <is>
          <t>Inventories</t>
        </is>
      </c>
      <c r="F6" s="13">
        <f>'Schedules'!F3</f>
        <v/>
      </c>
      <c r="G6" s="13">
        <f>'Schedules'!G3</f>
        <v/>
      </c>
      <c r="H6" s="13">
        <f>'Schedules'!H3</f>
        <v/>
      </c>
      <c r="I6" s="13">
        <f>'Schedules'!I3</f>
        <v/>
      </c>
      <c r="J6" s="13">
        <f>'Schedules'!J3</f>
        <v/>
      </c>
    </row>
    <row r="7">
      <c r="B7" t="inlineStr">
        <is>
          <t>Trade and other receivables</t>
        </is>
      </c>
      <c r="F7" s="13">
        <f>'Schedules'!F4</f>
        <v/>
      </c>
      <c r="G7" s="13">
        <f>'Schedules'!G4</f>
        <v/>
      </c>
      <c r="H7" s="13">
        <f>'Schedules'!H4</f>
        <v/>
      </c>
      <c r="I7" s="13">
        <f>'Schedules'!I4</f>
        <v/>
      </c>
      <c r="J7" s="13">
        <f>'Schedules'!J4</f>
        <v/>
      </c>
    </row>
    <row r="8">
      <c r="B8" t="inlineStr">
        <is>
          <t>Cash and cash equivalents</t>
        </is>
      </c>
      <c r="F8" s="13">
        <f>'CF'!F20</f>
        <v/>
      </c>
      <c r="G8" s="13">
        <f>'CF'!G20</f>
        <v/>
      </c>
      <c r="H8" s="13">
        <f>'CF'!H20</f>
        <v/>
      </c>
      <c r="I8" s="13">
        <f>'CF'!I20</f>
        <v/>
      </c>
      <c r="J8" s="13">
        <f>'CF'!J20</f>
        <v/>
      </c>
    </row>
    <row r="9">
      <c r="B9" t="inlineStr">
        <is>
          <t>Other assets (held flat)</t>
        </is>
      </c>
      <c r="F9" s="13">
        <f>'Historicals'!E26</f>
        <v/>
      </c>
      <c r="G9" s="13">
        <f>'Historicals'!E26</f>
        <v/>
      </c>
      <c r="H9" s="13">
        <f>'Historicals'!E26</f>
        <v/>
      </c>
      <c r="I9" s="13">
        <f>'Historicals'!E26</f>
        <v/>
      </c>
      <c r="J9" s="13">
        <f>'Historicals'!E26</f>
        <v/>
      </c>
    </row>
    <row r="10">
      <c r="B10" t="inlineStr">
        <is>
          <t>Total assets</t>
        </is>
      </c>
      <c r="F10" s="3">
        <f>'BS'!F3+'BS'!F4+'BS'!F5+'BS'!F6+'BS'!F7+'BS'!F8+'BS'!F9</f>
        <v/>
      </c>
      <c r="G10" s="3">
        <f>'BS'!G3+'BS'!G4+'BS'!G5+'BS'!G6+'BS'!G7+'BS'!G8+'BS'!G9</f>
        <v/>
      </c>
      <c r="H10" s="3">
        <f>'BS'!H3+'BS'!H4+'BS'!H5+'BS'!H6+'BS'!H7+'BS'!H8+'BS'!H9</f>
        <v/>
      </c>
      <c r="I10" s="3">
        <f>'BS'!I3+'BS'!I4+'BS'!I5+'BS'!I6+'BS'!I7+'BS'!I8+'BS'!I9</f>
        <v/>
      </c>
      <c r="J10" s="3">
        <f>'BS'!J3+'BS'!J4+'BS'!J5+'BS'!J6+'BS'!J7+'BS'!J8+'BS'!J9</f>
        <v/>
      </c>
    </row>
    <row r="12">
      <c r="A12" s="1" t="inlineStr">
        <is>
          <t>Liabilities and equity</t>
        </is>
      </c>
    </row>
    <row r="13">
      <c r="B13" t="inlineStr">
        <is>
          <t>Trade and other payables</t>
        </is>
      </c>
      <c r="F13" s="13">
        <f>'Schedules'!F5</f>
        <v/>
      </c>
      <c r="G13" s="13">
        <f>'Schedules'!G5</f>
        <v/>
      </c>
      <c r="H13" s="13">
        <f>'Schedules'!H5</f>
        <v/>
      </c>
      <c r="I13" s="13">
        <f>'Schedules'!I5</f>
        <v/>
      </c>
      <c r="J13" s="13">
        <f>'Schedules'!J5</f>
        <v/>
      </c>
    </row>
    <row r="14">
      <c r="B14" t="inlineStr">
        <is>
          <t>Lease liabilities</t>
        </is>
      </c>
      <c r="F14" s="13">
        <f>'Schedules'!F31</f>
        <v/>
      </c>
      <c r="G14" s="13">
        <f>'Schedules'!G31</f>
        <v/>
      </c>
      <c r="H14" s="13">
        <f>'Schedules'!H31</f>
        <v/>
      </c>
      <c r="I14" s="13">
        <f>'Schedules'!I31</f>
        <v/>
      </c>
      <c r="J14" s="13">
        <f>'Schedules'!J31</f>
        <v/>
      </c>
    </row>
    <row r="15">
      <c r="B15" t="inlineStr">
        <is>
          <t>Borrowings</t>
        </is>
      </c>
      <c r="F15" s="13">
        <f>'Schedules'!F47</f>
        <v/>
      </c>
      <c r="G15" s="13">
        <f>'Schedules'!G47</f>
        <v/>
      </c>
      <c r="H15" s="13">
        <f>'Schedules'!H47</f>
        <v/>
      </c>
      <c r="I15" s="13">
        <f>'Schedules'!I47</f>
        <v/>
      </c>
      <c r="J15" s="13">
        <f>'Schedules'!J47</f>
        <v/>
      </c>
    </row>
    <row r="16">
      <c r="B16" t="inlineStr">
        <is>
          <t>Other liabilities (held flat)</t>
        </is>
      </c>
      <c r="F16" s="13">
        <f>'Historicals'!E32</f>
        <v/>
      </c>
      <c r="G16" s="13">
        <f>'Historicals'!E32</f>
        <v/>
      </c>
      <c r="H16" s="13">
        <f>'Historicals'!E32</f>
        <v/>
      </c>
      <c r="I16" s="13">
        <f>'Historicals'!E32</f>
        <v/>
      </c>
      <c r="J16" s="13">
        <f>'Historicals'!E32</f>
        <v/>
      </c>
    </row>
    <row r="17">
      <c r="B17" t="inlineStr">
        <is>
          <t>Total equity</t>
        </is>
      </c>
      <c r="F17" s="13">
        <f>'Schedules'!F36</f>
        <v/>
      </c>
      <c r="G17" s="13">
        <f>'Schedules'!G36</f>
        <v/>
      </c>
      <c r="H17" s="13">
        <f>'Schedules'!H36</f>
        <v/>
      </c>
      <c r="I17" s="13">
        <f>'Schedules'!I36</f>
        <v/>
      </c>
      <c r="J17" s="13">
        <f>'Schedules'!J36</f>
        <v/>
      </c>
    </row>
    <row r="18">
      <c r="B18" t="inlineStr">
        <is>
          <t>Total liabilities and equity</t>
        </is>
      </c>
      <c r="F18" s="3">
        <f>'BS'!F13+'BS'!F14+'BS'!F15+'BS'!F16+'BS'!F17</f>
        <v/>
      </c>
      <c r="G18" s="3">
        <f>'BS'!G13+'BS'!G14+'BS'!G15+'BS'!G16+'BS'!G17</f>
        <v/>
      </c>
      <c r="H18" s="3">
        <f>'BS'!H13+'BS'!H14+'BS'!H15+'BS'!H16+'BS'!H17</f>
        <v/>
      </c>
      <c r="I18" s="3">
        <f>'BS'!I13+'BS'!I14+'BS'!I15+'BS'!I16+'BS'!I17</f>
        <v/>
      </c>
      <c r="J18" s="3">
        <f>'BS'!J13+'BS'!J14+'BS'!J15+'BS'!J16+'BS'!J17</f>
        <v/>
      </c>
    </row>
    <row r="19">
      <c r="B19" t="inlineStr">
        <is>
          <t>Balance check (total assets less total claims — must be nil)</t>
        </is>
      </c>
      <c r="F19" s="3">
        <f>'BS'!F10-'BS'!F18</f>
        <v/>
      </c>
      <c r="G19" s="3">
        <f>'BS'!G10-'BS'!G18</f>
        <v/>
      </c>
      <c r="H19" s="3">
        <f>'BS'!H10-'BS'!H18</f>
        <v/>
      </c>
      <c r="I19" s="3">
        <f>'BS'!I10-'BS'!I18</f>
        <v/>
      </c>
      <c r="J19" s="3">
        <f>'BS'!J10-'BS'!J18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Cash flow statement — forecast, £m</t>
        </is>
      </c>
    </row>
    <row r="2">
      <c r="F2" s="5">
        <f>'Assumptions'!F$2</f>
        <v/>
      </c>
      <c r="G2" s="5">
        <f>'Assumptions'!G$2</f>
        <v/>
      </c>
      <c r="H2" s="5">
        <f>'Assumptions'!H$2</f>
        <v/>
      </c>
      <c r="I2" s="5">
        <f>'Assumptions'!I$2</f>
        <v/>
      </c>
      <c r="J2" s="5">
        <f>'Assumptions'!J$2</f>
        <v/>
      </c>
    </row>
    <row r="3">
      <c r="B3" t="inlineStr">
        <is>
          <t>EBITDA</t>
        </is>
      </c>
      <c r="F3" s="13">
        <f>'IS'!F7</f>
        <v/>
      </c>
      <c r="G3" s="13">
        <f>'IS'!G7</f>
        <v/>
      </c>
      <c r="H3" s="13">
        <f>'IS'!H7</f>
        <v/>
      </c>
      <c r="I3" s="13">
        <f>'IS'!I7</f>
        <v/>
      </c>
      <c r="J3" s="13">
        <f>'IS'!J7</f>
        <v/>
      </c>
    </row>
    <row r="4">
      <c r="B4" t="inlineStr">
        <is>
          <t>Increase in working capital (outflow when positive)</t>
        </is>
      </c>
      <c r="F4" s="13">
        <f>'Schedules'!F8</f>
        <v/>
      </c>
      <c r="G4" s="13">
        <f>'Schedules'!G8</f>
        <v/>
      </c>
      <c r="H4" s="13">
        <f>'Schedules'!H8</f>
        <v/>
      </c>
      <c r="I4" s="13">
        <f>'Schedules'!I8</f>
        <v/>
      </c>
      <c r="J4" s="13">
        <f>'Schedules'!J8</f>
        <v/>
      </c>
    </row>
    <row r="5">
      <c r="B5" t="inlineStr">
        <is>
          <t>Tax paid</t>
        </is>
      </c>
      <c r="F5" s="13">
        <f>'IS'!F16</f>
        <v/>
      </c>
      <c r="G5" s="13">
        <f>'IS'!G16</f>
        <v/>
      </c>
      <c r="H5" s="13">
        <f>'IS'!H16</f>
        <v/>
      </c>
      <c r="I5" s="13">
        <f>'IS'!I16</f>
        <v/>
      </c>
      <c r="J5" s="13">
        <f>'IS'!J16</f>
        <v/>
      </c>
    </row>
    <row r="6">
      <c r="B6" t="inlineStr">
        <is>
          <t>Cash from operations</t>
        </is>
      </c>
      <c r="F6" s="3">
        <f>'CF'!F3-'CF'!F4-'CF'!F5</f>
        <v/>
      </c>
      <c r="G6" s="3">
        <f>'CF'!G3-'CF'!G4-'CF'!G5</f>
        <v/>
      </c>
      <c r="H6" s="3">
        <f>'CF'!H3-'CF'!H4-'CF'!H5</f>
        <v/>
      </c>
      <c r="I6" s="3">
        <f>'CF'!I3-'CF'!I4-'CF'!I5</f>
        <v/>
      </c>
      <c r="J6" s="3">
        <f>'CF'!J3-'CF'!J4-'CF'!J5</f>
        <v/>
      </c>
    </row>
    <row r="8">
      <c r="A8" s="1" t="inlineStr">
        <is>
          <t>Investing and financing</t>
        </is>
      </c>
    </row>
    <row r="9">
      <c r="B9" t="inlineStr">
        <is>
          <t>Capital expenditure (total)</t>
        </is>
      </c>
      <c r="F9" s="13">
        <f>'Schedules'!F21</f>
        <v/>
      </c>
      <c r="G9" s="13">
        <f>'Schedules'!G21</f>
        <v/>
      </c>
      <c r="H9" s="13">
        <f>'Schedules'!H21</f>
        <v/>
      </c>
      <c r="I9" s="13">
        <f>'Schedules'!I21</f>
        <v/>
      </c>
      <c r="J9" s="13">
        <f>'Schedules'!J21</f>
        <v/>
      </c>
    </row>
    <row r="10">
      <c r="B10" t="inlineStr">
        <is>
          <t xml:space="preserve">  of which PP&amp;E (memo)</t>
        </is>
      </c>
      <c r="F10" s="13">
        <f>'Schedules'!F12</f>
        <v/>
      </c>
      <c r="G10" s="13">
        <f>'Schedules'!G12</f>
        <v/>
      </c>
      <c r="H10" s="13">
        <f>'Schedules'!H12</f>
        <v/>
      </c>
      <c r="I10" s="13">
        <f>'Schedules'!I12</f>
        <v/>
      </c>
      <c r="J10" s="13">
        <f>'Schedules'!J12</f>
        <v/>
      </c>
    </row>
    <row r="11">
      <c r="B11" t="inlineStr">
        <is>
          <t xml:space="preserve">  of which intangible (memo)</t>
        </is>
      </c>
      <c r="F11" s="13">
        <f>'Schedules'!F18</f>
        <v/>
      </c>
      <c r="G11" s="13">
        <f>'Schedules'!G18</f>
        <v/>
      </c>
      <c r="H11" s="13">
        <f>'Schedules'!H18</f>
        <v/>
      </c>
      <c r="I11" s="13">
        <f>'Schedules'!I18</f>
        <v/>
      </c>
      <c r="J11" s="13">
        <f>'Schedules'!J18</f>
        <v/>
      </c>
    </row>
    <row r="12">
      <c r="B12" t="inlineStr">
        <is>
          <t>Lease interest paid</t>
        </is>
      </c>
      <c r="F12" s="13">
        <f>'Schedules'!F29</f>
        <v/>
      </c>
      <c r="G12" s="13">
        <f>'Schedules'!G29</f>
        <v/>
      </c>
      <c r="H12" s="13">
        <f>'Schedules'!H29</f>
        <v/>
      </c>
      <c r="I12" s="13">
        <f>'Schedules'!I29</f>
        <v/>
      </c>
      <c r="J12" s="13">
        <f>'Schedules'!J29</f>
        <v/>
      </c>
    </row>
    <row r="13">
      <c r="B13" t="inlineStr">
        <is>
          <t>Lease principal repaid</t>
        </is>
      </c>
      <c r="F13" s="13">
        <f>'Schedules'!F30</f>
        <v/>
      </c>
      <c r="G13" s="13">
        <f>'Schedules'!G30</f>
        <v/>
      </c>
      <c r="H13" s="13">
        <f>'Schedules'!H30</f>
        <v/>
      </c>
      <c r="I13" s="13">
        <f>'Schedules'!I30</f>
        <v/>
      </c>
      <c r="J13" s="13">
        <f>'Schedules'!J30</f>
        <v/>
      </c>
    </row>
    <row r="14">
      <c r="B14" t="inlineStr">
        <is>
          <t>Interest paid on borrowings</t>
        </is>
      </c>
      <c r="F14" s="13">
        <f>'Schedules'!F43</f>
        <v/>
      </c>
      <c r="G14" s="13">
        <f>'Schedules'!G43</f>
        <v/>
      </c>
      <c r="H14" s="13">
        <f>'Schedules'!H43</f>
        <v/>
      </c>
      <c r="I14" s="13">
        <f>'Schedules'!I43</f>
        <v/>
      </c>
      <c r="J14" s="13">
        <f>'Schedules'!J43</f>
        <v/>
      </c>
    </row>
    <row r="15">
      <c r="B15" t="inlineStr">
        <is>
          <t>Repayment of borrowings</t>
        </is>
      </c>
      <c r="F15" s="13">
        <f>'Schedules'!F45</f>
        <v/>
      </c>
      <c r="G15" s="13">
        <f>'Schedules'!G45</f>
        <v/>
      </c>
      <c r="H15" s="13">
        <f>'Schedules'!H45</f>
        <v/>
      </c>
      <c r="I15" s="13">
        <f>'Schedules'!I45</f>
        <v/>
      </c>
      <c r="J15" s="13">
        <f>'Schedules'!J45</f>
        <v/>
      </c>
    </row>
    <row r="16">
      <c r="B16" t="inlineStr">
        <is>
          <t>Revolver draw (inflow)</t>
        </is>
      </c>
      <c r="F16" s="13">
        <f>'Schedules'!F46</f>
        <v/>
      </c>
      <c r="G16" s="13">
        <f>'Schedules'!G46</f>
        <v/>
      </c>
      <c r="H16" s="13">
        <f>'Schedules'!H46</f>
        <v/>
      </c>
      <c r="I16" s="13">
        <f>'Schedules'!I46</f>
        <v/>
      </c>
      <c r="J16" s="13">
        <f>'Schedules'!J46</f>
        <v/>
      </c>
    </row>
    <row r="17">
      <c r="B17" t="inlineStr">
        <is>
          <t>Dividends paid</t>
        </is>
      </c>
      <c r="F17" s="13">
        <f>'Schedules'!F34</f>
        <v/>
      </c>
      <c r="G17" s="13">
        <f>'Schedules'!G34</f>
        <v/>
      </c>
      <c r="H17" s="13">
        <f>'Schedules'!H34</f>
        <v/>
      </c>
      <c r="I17" s="13">
        <f>'Schedules'!I34</f>
        <v/>
      </c>
      <c r="J17" s="13">
        <f>'Schedules'!J34</f>
        <v/>
      </c>
    </row>
    <row r="18">
      <c r="B18" t="inlineStr">
        <is>
          <t>Net change in cash</t>
        </is>
      </c>
      <c r="F18" s="3">
        <f>'CF'!F6-'CF'!F9-'CF'!F12-'CF'!F13-'CF'!F14-'CF'!F15+'CF'!F16-'CF'!F17</f>
        <v/>
      </c>
      <c r="G18" s="3">
        <f>'CF'!G6-'CF'!G9-'CF'!G12-'CF'!G13-'CF'!G14-'CF'!G15+'CF'!G16-'CF'!G17</f>
        <v/>
      </c>
      <c r="H18" s="3">
        <f>'CF'!H6-'CF'!H9-'CF'!H12-'CF'!H13-'CF'!H14-'CF'!H15+'CF'!H16-'CF'!H17</f>
        <v/>
      </c>
      <c r="I18" s="3">
        <f>'CF'!I6-'CF'!I9-'CF'!I12-'CF'!I13-'CF'!I14-'CF'!I15+'CF'!I16-'CF'!I17</f>
        <v/>
      </c>
      <c r="J18" s="3">
        <f>'CF'!J6-'CF'!J9-'CF'!J12-'CF'!J13-'CF'!J14-'CF'!J15+'CF'!J16-'CF'!J17</f>
        <v/>
      </c>
    </row>
    <row r="19">
      <c r="B19" t="inlineStr">
        <is>
          <t>Opening cash</t>
        </is>
      </c>
      <c r="F19" s="3">
        <f>'Historicals'!E25</f>
        <v/>
      </c>
      <c r="G19" s="3">
        <f>'CF'!F20</f>
        <v/>
      </c>
      <c r="H19" s="3">
        <f>'CF'!G20</f>
        <v/>
      </c>
      <c r="I19" s="3">
        <f>'CF'!H20</f>
        <v/>
      </c>
      <c r="J19" s="3">
        <f>'CF'!I20</f>
        <v/>
      </c>
    </row>
    <row r="20">
      <c r="B20" t="inlineStr">
        <is>
          <t>Closing cash</t>
        </is>
      </c>
      <c r="F20" s="3">
        <f>'CF'!F19+'CF'!F18</f>
        <v/>
      </c>
      <c r="G20" s="3">
        <f>'CF'!G19+'CF'!G18</f>
        <v/>
      </c>
      <c r="H20" s="3">
        <f>'CF'!H19+'CF'!H18</f>
        <v/>
      </c>
      <c r="I20" s="3">
        <f>'CF'!I19+'CF'!I18</f>
        <v/>
      </c>
      <c r="J20" s="3">
        <f>'CF'!J19+'CF'!J18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Schedules — working capital, then fixed assets, leases, equity, debt</t>
        </is>
      </c>
    </row>
    <row r="2">
      <c r="F2" s="5">
        <f>'Assumptions'!F$2</f>
        <v/>
      </c>
      <c r="G2" s="5">
        <f>'Assumptions'!G$2</f>
        <v/>
      </c>
      <c r="H2" s="5">
        <f>'Assumptions'!H$2</f>
        <v/>
      </c>
      <c r="I2" s="5">
        <f>'Assumptions'!I$2</f>
        <v/>
      </c>
      <c r="J2" s="5">
        <f>'Assumptions'!J$2</f>
        <v/>
      </c>
    </row>
    <row r="3">
      <c r="B3" t="inlineStr">
        <is>
          <t>Inventories (cost of sales x inventory days / 365)</t>
        </is>
      </c>
      <c r="F3" s="3">
        <f>'IS'!F5*'Assumptions'!$C$34/'Assumptions'!$C$42</f>
        <v/>
      </c>
      <c r="G3" s="3">
        <f>'IS'!G5*'Assumptions'!$C$34/'Assumptions'!$C$42</f>
        <v/>
      </c>
      <c r="H3" s="3">
        <f>'IS'!H5*'Assumptions'!$C$34/'Assumptions'!$C$42</f>
        <v/>
      </c>
      <c r="I3" s="3">
        <f>'IS'!I5*'Assumptions'!$C$34/'Assumptions'!$C$42</f>
        <v/>
      </c>
      <c r="J3" s="3">
        <f>'IS'!J5*'Assumptions'!$C$34/'Assumptions'!$C$42</f>
        <v/>
      </c>
    </row>
    <row r="4">
      <c r="B4" t="inlineStr">
        <is>
          <t>Trade receivables (revenue x receivable days / 365)</t>
        </is>
      </c>
      <c r="F4" s="3">
        <f>'IS'!F3*'Assumptions'!$C$35/'Assumptions'!$C$42</f>
        <v/>
      </c>
      <c r="G4" s="3">
        <f>'IS'!G3*'Assumptions'!$C$35/'Assumptions'!$C$42</f>
        <v/>
      </c>
      <c r="H4" s="3">
        <f>'IS'!H3*'Assumptions'!$C$35/'Assumptions'!$C$42</f>
        <v/>
      </c>
      <c r="I4" s="3">
        <f>'IS'!I3*'Assumptions'!$C$35/'Assumptions'!$C$42</f>
        <v/>
      </c>
      <c r="J4" s="3">
        <f>'IS'!J3*'Assumptions'!$C$35/'Assumptions'!$C$42</f>
        <v/>
      </c>
    </row>
    <row r="5">
      <c r="B5" t="inlineStr">
        <is>
          <t>Trade payables (cost of sales x payable days / 365)</t>
        </is>
      </c>
      <c r="F5" s="3">
        <f>'IS'!F5*'Assumptions'!$C$36/'Assumptions'!$C$42</f>
        <v/>
      </c>
      <c r="G5" s="3">
        <f>'IS'!G5*'Assumptions'!$C$36/'Assumptions'!$C$42</f>
        <v/>
      </c>
      <c r="H5" s="3">
        <f>'IS'!H5*'Assumptions'!$C$36/'Assumptions'!$C$42</f>
        <v/>
      </c>
      <c r="I5" s="3">
        <f>'IS'!I5*'Assumptions'!$C$36/'Assumptions'!$C$42</f>
        <v/>
      </c>
      <c r="J5" s="3">
        <f>'IS'!J5*'Assumptions'!$C$36/'Assumptions'!$C$42</f>
        <v/>
      </c>
    </row>
    <row r="6">
      <c r="B6" t="inlineStr">
        <is>
          <t>Net working capital</t>
        </is>
      </c>
      <c r="F6" s="3">
        <f>'Schedules'!F3+'Schedules'!F4-'Schedules'!F5</f>
        <v/>
      </c>
      <c r="G6" s="3">
        <f>'Schedules'!G3+'Schedules'!G4-'Schedules'!G5</f>
        <v/>
      </c>
      <c r="H6" s="3">
        <f>'Schedules'!H3+'Schedules'!H4-'Schedules'!H5</f>
        <v/>
      </c>
      <c r="I6" s="3">
        <f>'Schedules'!I3+'Schedules'!I4-'Schedules'!I5</f>
        <v/>
      </c>
      <c r="J6" s="3">
        <f>'Schedules'!J3+'Schedules'!J4-'Schedules'!J5</f>
        <v/>
      </c>
    </row>
    <row r="7">
      <c r="B7" t="inlineStr">
        <is>
          <t>Opening net working capital</t>
        </is>
      </c>
      <c r="F7" s="3">
        <f>'Historicals'!E35</f>
        <v/>
      </c>
      <c r="G7" s="3">
        <f>'Schedules'!F6</f>
        <v/>
      </c>
      <c r="H7" s="3">
        <f>'Schedules'!G6</f>
        <v/>
      </c>
      <c r="I7" s="3">
        <f>'Schedules'!H6</f>
        <v/>
      </c>
      <c r="J7" s="3">
        <f>'Schedules'!I6</f>
        <v/>
      </c>
    </row>
    <row r="8">
      <c r="B8" t="inlineStr">
        <is>
          <t>Increase in net working capital (cash outflow when positive)</t>
        </is>
      </c>
      <c r="F8" s="3">
        <f>'Schedules'!F6-'Schedules'!F7</f>
        <v/>
      </c>
      <c r="G8" s="3">
        <f>'Schedules'!G6-'Schedules'!G7</f>
        <v/>
      </c>
      <c r="H8" s="3">
        <f>'Schedules'!H6-'Schedules'!H7</f>
        <v/>
      </c>
      <c r="I8" s="3">
        <f>'Schedules'!I6-'Schedules'!I7</f>
        <v/>
      </c>
      <c r="J8" s="3">
        <f>'Schedules'!J6-'Schedules'!J7</f>
        <v/>
      </c>
    </row>
    <row r="10">
      <c r="A10" s="1" t="inlineStr">
        <is>
          <t>Fixed assets (PP&amp;E)</t>
        </is>
      </c>
    </row>
    <row r="11">
      <c r="B11" t="inlineStr">
        <is>
          <t>Opening PP&amp;E</t>
        </is>
      </c>
      <c r="F11" s="3">
        <f>'Historicals'!E20</f>
        <v/>
      </c>
      <c r="G11" s="3">
        <f>'Schedules'!F14</f>
        <v/>
      </c>
      <c r="H11" s="3">
        <f>'Schedules'!G14</f>
        <v/>
      </c>
      <c r="I11" s="3">
        <f>'Schedules'!H14</f>
        <v/>
      </c>
      <c r="J11" s="3">
        <f>'Schedules'!I14</f>
        <v/>
      </c>
    </row>
    <row r="12">
      <c r="B12" t="inlineStr">
        <is>
          <t>PP&amp;E capex (revenue x total capex % x PP&amp;E share)</t>
        </is>
      </c>
      <c r="F12" s="3">
        <f>'IS'!F3*'Assumptions'!F29*'Assumptions'!$C$59</f>
        <v/>
      </c>
      <c r="G12" s="3">
        <f>'IS'!G3*'Assumptions'!G29*'Assumptions'!$C$59</f>
        <v/>
      </c>
      <c r="H12" s="3">
        <f>'IS'!H3*'Assumptions'!H29*'Assumptions'!$C$59</f>
        <v/>
      </c>
      <c r="I12" s="3">
        <f>'IS'!I3*'Assumptions'!I29*'Assumptions'!$C$59</f>
        <v/>
      </c>
      <c r="J12" s="3">
        <f>'IS'!J3*'Assumptions'!J29*'Assumptions'!$C$59</f>
        <v/>
      </c>
    </row>
    <row r="13">
      <c r="B13" t="inlineStr">
        <is>
          <t>Depreciation of PP&amp;E (rate on opening balance)</t>
        </is>
      </c>
      <c r="F13" s="3">
        <f>'Schedules'!F11*'Assumptions'!$C$37</f>
        <v/>
      </c>
      <c r="G13" s="3">
        <f>'Schedules'!G11*'Assumptions'!$C$37</f>
        <v/>
      </c>
      <c r="H13" s="3">
        <f>'Schedules'!H11*'Assumptions'!$C$37</f>
        <v/>
      </c>
      <c r="I13" s="3">
        <f>'Schedules'!I11*'Assumptions'!$C$37</f>
        <v/>
      </c>
      <c r="J13" s="3">
        <f>'Schedules'!J11*'Assumptions'!$C$37</f>
        <v/>
      </c>
    </row>
    <row r="14">
      <c r="B14" t="inlineStr">
        <is>
          <t>Closing PP&amp;E</t>
        </is>
      </c>
      <c r="F14" s="3">
        <f>'Schedules'!F11+'Schedules'!F12-'Schedules'!F13</f>
        <v/>
      </c>
      <c r="G14" s="3">
        <f>'Schedules'!G11+'Schedules'!G12-'Schedules'!G13</f>
        <v/>
      </c>
      <c r="H14" s="3">
        <f>'Schedules'!H11+'Schedules'!H12-'Schedules'!H13</f>
        <v/>
      </c>
      <c r="I14" s="3">
        <f>'Schedules'!I11+'Schedules'!I12-'Schedules'!I13</f>
        <v/>
      </c>
      <c r="J14" s="3">
        <f>'Schedules'!J11+'Schedules'!J12-'Schedules'!J13</f>
        <v/>
      </c>
    </row>
    <row r="16">
      <c r="A16" s="1" t="inlineStr">
        <is>
          <t>Intangible assets</t>
        </is>
      </c>
    </row>
    <row r="17">
      <c r="B17" t="inlineStr">
        <is>
          <t>Opening intangibles</t>
        </is>
      </c>
      <c r="F17" s="3">
        <f>'Historicals'!E22</f>
        <v/>
      </c>
      <c r="G17" s="3">
        <f>'Schedules'!F20</f>
        <v/>
      </c>
      <c r="H17" s="3">
        <f>'Schedules'!G20</f>
        <v/>
      </c>
      <c r="I17" s="3">
        <f>'Schedules'!H20</f>
        <v/>
      </c>
      <c r="J17" s="3">
        <f>'Schedules'!I20</f>
        <v/>
      </c>
    </row>
    <row r="18">
      <c r="B18" t="inlineStr">
        <is>
          <t>Intangible additions (revenue x total capex % x intangible share)</t>
        </is>
      </c>
      <c r="F18" s="3">
        <f>'IS'!F3*'Assumptions'!F29*'Assumptions'!$C$58</f>
        <v/>
      </c>
      <c r="G18" s="3">
        <f>'IS'!G3*'Assumptions'!G29*'Assumptions'!$C$58</f>
        <v/>
      </c>
      <c r="H18" s="3">
        <f>'IS'!H3*'Assumptions'!H29*'Assumptions'!$C$58</f>
        <v/>
      </c>
      <c r="I18" s="3">
        <f>'IS'!I3*'Assumptions'!I29*'Assumptions'!$C$58</f>
        <v/>
      </c>
      <c r="J18" s="3">
        <f>'IS'!J3*'Assumptions'!J29*'Assumptions'!$C$58</f>
        <v/>
      </c>
    </row>
    <row r="19">
      <c r="B19" t="inlineStr">
        <is>
          <t>Amortisation (rate on opening balance)</t>
        </is>
      </c>
      <c r="F19" s="3">
        <f>'Schedules'!F17*'Assumptions'!$C$60</f>
        <v/>
      </c>
      <c r="G19" s="3">
        <f>'Schedules'!G17*'Assumptions'!$C$60</f>
        <v/>
      </c>
      <c r="H19" s="3">
        <f>'Schedules'!H17*'Assumptions'!$C$60</f>
        <v/>
      </c>
      <c r="I19" s="3">
        <f>'Schedules'!I17*'Assumptions'!$C$60</f>
        <v/>
      </c>
      <c r="J19" s="3">
        <f>'Schedules'!J17*'Assumptions'!$C$60</f>
        <v/>
      </c>
    </row>
    <row r="20">
      <c r="B20" t="inlineStr">
        <is>
          <t>Closing intangibles</t>
        </is>
      </c>
      <c r="F20" s="3">
        <f>'Schedules'!F17+'Schedules'!F18-'Schedules'!F19</f>
        <v/>
      </c>
      <c r="G20" s="3">
        <f>'Schedules'!G17+'Schedules'!G18-'Schedules'!G19</f>
        <v/>
      </c>
      <c r="H20" s="3">
        <f>'Schedules'!H17+'Schedules'!H18-'Schedules'!H19</f>
        <v/>
      </c>
      <c r="I20" s="3">
        <f>'Schedules'!I17+'Schedules'!I18-'Schedules'!I19</f>
        <v/>
      </c>
      <c r="J20" s="3">
        <f>'Schedules'!J17+'Schedules'!J18-'Schedules'!J19</f>
        <v/>
      </c>
    </row>
    <row r="21">
      <c r="B21" t="inlineStr">
        <is>
          <t>Total cash capex (PP&amp;E + intangible)</t>
        </is>
      </c>
      <c r="F21" s="3">
        <f>'Schedules'!F12+'Schedules'!F18</f>
        <v/>
      </c>
      <c r="G21" s="3">
        <f>'Schedules'!G12+'Schedules'!G18</f>
        <v/>
      </c>
      <c r="H21" s="3">
        <f>'Schedules'!H12+'Schedules'!H18</f>
        <v/>
      </c>
      <c r="I21" s="3">
        <f>'Schedules'!I12+'Schedules'!I18</f>
        <v/>
      </c>
      <c r="J21" s="3">
        <f>'Schedules'!J12+'Schedules'!J18</f>
        <v/>
      </c>
    </row>
    <row r="23">
      <c r="A23" s="1" t="inlineStr">
        <is>
          <t>Leases (IFRS 16)</t>
        </is>
      </c>
    </row>
    <row r="24">
      <c r="B24" t="inlineStr">
        <is>
          <t>Opening right-of-use assets</t>
        </is>
      </c>
      <c r="F24" s="3">
        <f>'Historicals'!E21</f>
        <v/>
      </c>
      <c r="G24" s="3">
        <f>'Schedules'!F27</f>
        <v/>
      </c>
      <c r="H24" s="3">
        <f>'Schedules'!G27</f>
        <v/>
      </c>
      <c r="I24" s="3">
        <f>'Schedules'!H27</f>
        <v/>
      </c>
      <c r="J24" s="3">
        <f>'Schedules'!I27</f>
        <v/>
      </c>
    </row>
    <row r="25">
      <c r="B25" t="inlineStr">
        <is>
          <t>New ROU asset additions (revenue x ROU additions %)</t>
        </is>
      </c>
      <c r="F25" s="3">
        <f>'IS'!F3*'Assumptions'!F30</f>
        <v/>
      </c>
      <c r="G25" s="3">
        <f>'IS'!G3*'Assumptions'!G30</f>
        <v/>
      </c>
      <c r="H25" s="3">
        <f>'IS'!H3*'Assumptions'!H30</f>
        <v/>
      </c>
      <c r="I25" s="3">
        <f>'IS'!I3*'Assumptions'!I30</f>
        <v/>
      </c>
      <c r="J25" s="3">
        <f>'IS'!J3*'Assumptions'!J30</f>
        <v/>
      </c>
    </row>
    <row r="26">
      <c r="B26" t="inlineStr">
        <is>
          <t>Depreciation of ROU assets (rate on opening balance)</t>
        </is>
      </c>
      <c r="F26" s="3">
        <f>'Schedules'!F24*'Assumptions'!$C$38</f>
        <v/>
      </c>
      <c r="G26" s="3">
        <f>'Schedules'!G24*'Assumptions'!$C$38</f>
        <v/>
      </c>
      <c r="H26" s="3">
        <f>'Schedules'!H24*'Assumptions'!$C$38</f>
        <v/>
      </c>
      <c r="I26" s="3">
        <f>'Schedules'!I24*'Assumptions'!$C$38</f>
        <v/>
      </c>
      <c r="J26" s="3">
        <f>'Schedules'!J24*'Assumptions'!$C$38</f>
        <v/>
      </c>
    </row>
    <row r="27">
      <c r="B27" t="inlineStr">
        <is>
          <t>Closing right-of-use assets</t>
        </is>
      </c>
      <c r="F27" s="3">
        <f>'Schedules'!F24+'Schedules'!F25-'Schedules'!F26</f>
        <v/>
      </c>
      <c r="G27" s="3">
        <f>'Schedules'!G24+'Schedules'!G25-'Schedules'!G26</f>
        <v/>
      </c>
      <c r="H27" s="3">
        <f>'Schedules'!H24+'Schedules'!H25-'Schedules'!H26</f>
        <v/>
      </c>
      <c r="I27" s="3">
        <f>'Schedules'!I24+'Schedules'!I25-'Schedules'!I26</f>
        <v/>
      </c>
      <c r="J27" s="3">
        <f>'Schedules'!J24+'Schedules'!J25-'Schedules'!J26</f>
        <v/>
      </c>
    </row>
    <row r="28">
      <c r="B28" t="inlineStr">
        <is>
          <t>Opening lease liabilities</t>
        </is>
      </c>
      <c r="F28" s="3">
        <f>'Historicals'!E30</f>
        <v/>
      </c>
      <c r="G28" s="3">
        <f>'Schedules'!F31</f>
        <v/>
      </c>
      <c r="H28" s="3">
        <f>'Schedules'!G31</f>
        <v/>
      </c>
      <c r="I28" s="3">
        <f>'Schedules'!H31</f>
        <v/>
      </c>
      <c r="J28" s="3">
        <f>'Schedules'!I31</f>
        <v/>
      </c>
    </row>
    <row r="29">
      <c r="B29" t="inlineStr">
        <is>
          <t>Lease interest (discount rate on opening liability)</t>
        </is>
      </c>
      <c r="F29" s="3">
        <f>'Schedules'!F28*'Assumptions'!$C$53</f>
        <v/>
      </c>
      <c r="G29" s="3">
        <f>'Schedules'!G28*'Assumptions'!$C$53</f>
        <v/>
      </c>
      <c r="H29" s="3">
        <f>'Schedules'!H28*'Assumptions'!$C$53</f>
        <v/>
      </c>
      <c r="I29" s="3">
        <f>'Schedules'!I28*'Assumptions'!$C$53</f>
        <v/>
      </c>
      <c r="J29" s="3">
        <f>'Schedules'!J28*'Assumptions'!$C$53</f>
        <v/>
      </c>
    </row>
    <row r="30">
      <c r="B30" t="inlineStr">
        <is>
          <t>Lease principal repaid (opening / implied term + additions x fit rate)</t>
        </is>
      </c>
      <c r="F30" s="3">
        <f>'Schedules'!F28/'Assumptions'!$C$56+'Schedules'!F25*'Assumptions'!$C$57</f>
        <v/>
      </c>
      <c r="G30" s="3">
        <f>'Schedules'!G28/'Assumptions'!$C$56+'Schedules'!G25*'Assumptions'!$C$57</f>
        <v/>
      </c>
      <c r="H30" s="3">
        <f>'Schedules'!H28/'Assumptions'!$C$56+'Schedules'!H25*'Assumptions'!$C$57</f>
        <v/>
      </c>
      <c r="I30" s="3">
        <f>'Schedules'!I28/'Assumptions'!$C$56+'Schedules'!I25*'Assumptions'!$C$57</f>
        <v/>
      </c>
      <c r="J30" s="3">
        <f>'Schedules'!J28/'Assumptions'!$C$56+'Schedules'!J25*'Assumptions'!$C$57</f>
        <v/>
      </c>
    </row>
    <row r="31">
      <c r="B31" t="inlineStr">
        <is>
          <t>Closing lease liabilities</t>
        </is>
      </c>
      <c r="F31" s="3">
        <f>'Schedules'!F28+'Schedules'!F25-'Schedules'!F30</f>
        <v/>
      </c>
      <c r="G31" s="3">
        <f>'Schedules'!G28+'Schedules'!G25-'Schedules'!G30</f>
        <v/>
      </c>
      <c r="H31" s="3">
        <f>'Schedules'!H28+'Schedules'!H25-'Schedules'!H30</f>
        <v/>
      </c>
      <c r="I31" s="3">
        <f>'Schedules'!I28+'Schedules'!I25-'Schedules'!I30</f>
        <v/>
      </c>
      <c r="J31" s="3">
        <f>'Schedules'!J28+'Schedules'!J25-'Schedules'!J30</f>
        <v/>
      </c>
    </row>
    <row r="33">
      <c r="A33" s="1" t="inlineStr">
        <is>
          <t>Equity and distributions</t>
        </is>
      </c>
    </row>
    <row r="34">
      <c r="B34" t="inlineStr">
        <is>
          <t>Dividends declared (payout ratio on net income, floored at nil)</t>
        </is>
      </c>
      <c r="F34" s="3">
        <f>MAX('IS'!F17,0)*'Assumptions'!$C$40</f>
        <v/>
      </c>
      <c r="G34" s="3">
        <f>MAX('IS'!G17,0)*'Assumptions'!$C$40</f>
        <v/>
      </c>
      <c r="H34" s="3">
        <f>MAX('IS'!H17,0)*'Assumptions'!$C$40</f>
        <v/>
      </c>
      <c r="I34" s="3">
        <f>MAX('IS'!I17,0)*'Assumptions'!$C$40</f>
        <v/>
      </c>
      <c r="J34" s="3">
        <f>MAX('IS'!J17,0)*'Assumptions'!$C$40</f>
        <v/>
      </c>
    </row>
    <row r="35">
      <c r="B35" t="inlineStr">
        <is>
          <t>Opening shareholders' equity</t>
        </is>
      </c>
      <c r="F35" s="3">
        <f>'Historicals'!E33</f>
        <v/>
      </c>
      <c r="G35" s="3">
        <f>'Schedules'!F36</f>
        <v/>
      </c>
      <c r="H35" s="3">
        <f>'Schedules'!G36</f>
        <v/>
      </c>
      <c r="I35" s="3">
        <f>'Schedules'!H36</f>
        <v/>
      </c>
      <c r="J35" s="3">
        <f>'Schedules'!I36</f>
        <v/>
      </c>
    </row>
    <row r="36">
      <c r="B36" t="inlineStr">
        <is>
          <t>Closing shareholders' equity</t>
        </is>
      </c>
      <c r="F36" s="3">
        <f>'Schedules'!F35+'IS'!F17-'Schedules'!F34</f>
        <v/>
      </c>
      <c r="G36" s="3">
        <f>'Schedules'!G35+'IS'!G17-'Schedules'!G34</f>
        <v/>
      </c>
      <c r="H36" s="3">
        <f>'Schedules'!H35+'IS'!H17-'Schedules'!H34</f>
        <v/>
      </c>
      <c r="I36" s="3">
        <f>'Schedules'!I35+'IS'!I17-'Schedules'!I34</f>
        <v/>
      </c>
      <c r="J36" s="3">
        <f>'Schedules'!J35+'IS'!J17-'Schedules'!J34</f>
        <v/>
      </c>
    </row>
    <row r="38">
      <c r="A38" s="1" t="inlineStr">
        <is>
          <t>Debt and cash</t>
        </is>
      </c>
    </row>
    <row r="39">
      <c r="B39" t="inlineStr">
        <is>
          <t>Cash generated before financing</t>
        </is>
      </c>
      <c r="F39" s="3">
        <f>'IS'!F7-'Schedules'!F8-'Schedules'!F21-'Schedules'!F30-'Schedules'!F29-'IS'!F16-'Schedules'!F34</f>
        <v/>
      </c>
      <c r="G39" s="3">
        <f>'IS'!G7-'Schedules'!G8-'Schedules'!G21-'Schedules'!G30-'Schedules'!G29-'IS'!G16-'Schedules'!G34</f>
        <v/>
      </c>
      <c r="H39" s="3">
        <f>'IS'!H7-'Schedules'!H8-'Schedules'!H21-'Schedules'!H30-'Schedules'!H29-'IS'!H16-'Schedules'!H34</f>
        <v/>
      </c>
      <c r="I39" s="3">
        <f>'IS'!I7-'Schedules'!I8-'Schedules'!I21-'Schedules'!I30-'Schedules'!I29-'IS'!I16-'Schedules'!I34</f>
        <v/>
      </c>
      <c r="J39" s="3">
        <f>'IS'!J7-'Schedules'!J8-'Schedules'!J21-'Schedules'!J30-'Schedules'!J29-'IS'!J16-'Schedules'!J34</f>
        <v/>
      </c>
    </row>
    <row r="40">
      <c r="B40" t="inlineStr">
        <is>
          <t>Opening borrowings</t>
        </is>
      </c>
      <c r="F40" s="3">
        <f>'Historicals'!E31</f>
        <v/>
      </c>
      <c r="G40" s="3">
        <f>'Schedules'!F47</f>
        <v/>
      </c>
      <c r="H40" s="3">
        <f>'Schedules'!G47</f>
        <v/>
      </c>
      <c r="I40" s="3">
        <f>'Schedules'!H47</f>
        <v/>
      </c>
      <c r="J40" s="3">
        <f>'Schedules'!I47</f>
        <v/>
      </c>
    </row>
    <row r="41">
      <c r="B41" t="inlineStr">
        <is>
          <t>Opening cash</t>
        </is>
      </c>
      <c r="F41" s="3">
        <f>'Historicals'!E25</f>
        <v/>
      </c>
      <c r="G41" s="3">
        <f>'Schedules'!F48</f>
        <v/>
      </c>
      <c r="H41" s="3">
        <f>'Schedules'!G48</f>
        <v/>
      </c>
      <c r="I41" s="3">
        <f>'Schedules'!H48</f>
        <v/>
      </c>
      <c r="J41" s="3">
        <f>'Schedules'!I48</f>
        <v/>
      </c>
    </row>
    <row r="42">
      <c r="B42" t="inlineStr">
        <is>
          <t>Cash available before interest</t>
        </is>
      </c>
      <c r="F42" s="3">
        <f>'Schedules'!F41+'Schedules'!F39</f>
        <v/>
      </c>
      <c r="G42" s="3">
        <f>'Schedules'!G41+'Schedules'!G39</f>
        <v/>
      </c>
      <c r="H42" s="3">
        <f>'Schedules'!H41+'Schedules'!H39</f>
        <v/>
      </c>
      <c r="I42" s="3">
        <f>'Schedules'!I41+'Schedules'!I39</f>
        <v/>
      </c>
      <c r="J42" s="3">
        <f>'Schedules'!J41+'Schedules'!J39</f>
        <v/>
      </c>
    </row>
    <row r="43">
      <c r="B43" t="inlineStr">
        <is>
          <t>Interest on borrowings (rate on opening debt)</t>
        </is>
      </c>
      <c r="F43" s="3">
        <f>'Schedules'!F40*'Assumptions'!$C$44</f>
        <v/>
      </c>
      <c r="G43" s="3">
        <f>'Schedules'!G40*'Assumptions'!$C$44</f>
        <v/>
      </c>
      <c r="H43" s="3">
        <f>'Schedules'!H40*'Assumptions'!$C$44</f>
        <v/>
      </c>
      <c r="I43" s="3">
        <f>'Schedules'!I40*'Assumptions'!$C$44</f>
        <v/>
      </c>
      <c r="J43" s="3">
        <f>'Schedules'!J40*'Assumptions'!$C$44</f>
        <v/>
      </c>
    </row>
    <row r="44">
      <c r="B44" t="inlineStr">
        <is>
          <t>Cash available before debt service</t>
        </is>
      </c>
      <c r="F44" s="3">
        <f>'Schedules'!F42-'Schedules'!F43</f>
        <v/>
      </c>
      <c r="G44" s="3">
        <f>'Schedules'!G42-'Schedules'!G43</f>
        <v/>
      </c>
      <c r="H44" s="3">
        <f>'Schedules'!H42-'Schedules'!H43</f>
        <v/>
      </c>
      <c r="I44" s="3">
        <f>'Schedules'!I42-'Schedules'!I43</f>
        <v/>
      </c>
      <c r="J44" s="3">
        <f>'Schedules'!J42-'Schedules'!J43</f>
        <v/>
      </c>
    </row>
    <row r="45">
      <c r="B45" t="inlineStr">
        <is>
          <t>Repayment of borrowings</t>
        </is>
      </c>
      <c r="F45" s="3">
        <f>MAX(0,MIN('Schedules'!F40,'Schedules'!F44-'Assumptions'!$C$41))</f>
        <v/>
      </c>
      <c r="G45" s="3">
        <f>MAX(0,MIN('Schedules'!G40,'Schedules'!G44-'Assumptions'!$C$41))</f>
        <v/>
      </c>
      <c r="H45" s="3">
        <f>MAX(0,MIN('Schedules'!H40,'Schedules'!H44-'Assumptions'!$C$41))</f>
        <v/>
      </c>
      <c r="I45" s="3">
        <f>MAX(0,MIN('Schedules'!I40,'Schedules'!I44-'Assumptions'!$C$41))</f>
        <v/>
      </c>
      <c r="J45" s="3">
        <f>MAX(0,MIN('Schedules'!J40,'Schedules'!J44-'Assumptions'!$C$41))</f>
        <v/>
      </c>
    </row>
    <row r="46">
      <c r="B46" t="inlineStr">
        <is>
          <t>Revolver draw</t>
        </is>
      </c>
      <c r="F46" s="3">
        <f>MAX(0,'Assumptions'!$C$41-'Schedules'!F44)</f>
        <v/>
      </c>
      <c r="G46" s="3">
        <f>MAX(0,'Assumptions'!$C$41-'Schedules'!G44)</f>
        <v/>
      </c>
      <c r="H46" s="3">
        <f>MAX(0,'Assumptions'!$C$41-'Schedules'!H44)</f>
        <v/>
      </c>
      <c r="I46" s="3">
        <f>MAX(0,'Assumptions'!$C$41-'Schedules'!I44)</f>
        <v/>
      </c>
      <c r="J46" s="3">
        <f>MAX(0,'Assumptions'!$C$41-'Schedules'!J44)</f>
        <v/>
      </c>
    </row>
    <row r="47">
      <c r="B47" t="inlineStr">
        <is>
          <t>Closing borrowings</t>
        </is>
      </c>
      <c r="F47" s="3">
        <f>'Schedules'!F40-'Schedules'!F45+'Schedules'!F46</f>
        <v/>
      </c>
      <c r="G47" s="3">
        <f>'Schedules'!G40-'Schedules'!G45+'Schedules'!G46</f>
        <v/>
      </c>
      <c r="H47" s="3">
        <f>'Schedules'!H40-'Schedules'!H45+'Schedules'!H46</f>
        <v/>
      </c>
      <c r="I47" s="3">
        <f>'Schedules'!I40-'Schedules'!I45+'Schedules'!I46</f>
        <v/>
      </c>
      <c r="J47" s="3">
        <f>'Schedules'!J40-'Schedules'!J45+'Schedules'!J46</f>
        <v/>
      </c>
    </row>
    <row r="48">
      <c r="B48" t="inlineStr">
        <is>
          <t>Closing cash (debt schedule's own track)</t>
        </is>
      </c>
      <c r="F48" s="3">
        <f>'Schedules'!F44-'Schedules'!F45+'Schedules'!F46</f>
        <v/>
      </c>
      <c r="G48" s="3">
        <f>'Schedules'!G44-'Schedules'!G45+'Schedules'!G46</f>
        <v/>
      </c>
      <c r="H48" s="3">
        <f>'Schedules'!H44-'Schedules'!H45+'Schedules'!H46</f>
        <v/>
      </c>
      <c r="I48" s="3">
        <f>'Schedules'!I44-'Schedules'!I45+'Schedules'!I46</f>
        <v/>
      </c>
      <c r="J48" s="3">
        <f>'Schedules'!J44-'Schedules'!J45+'Schedules'!J46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Discounted cash flow — Gordon growth on a re-based terminal year, £m</t>
        </is>
      </c>
    </row>
    <row r="2">
      <c r="F2" s="5">
        <f>'Assumptions'!F$2</f>
        <v/>
      </c>
      <c r="G2" s="5">
        <f>'Assumptions'!G$2</f>
        <v/>
      </c>
      <c r="H2" s="5">
        <f>'Assumptions'!H$2</f>
        <v/>
      </c>
      <c r="I2" s="5">
        <f>'Assumptions'!I$2</f>
        <v/>
      </c>
      <c r="J2" s="5">
        <f>'Assumptions'!J$2</f>
        <v/>
      </c>
    </row>
    <row r="3">
      <c r="B3" t="inlineStr">
        <is>
          <t>Cost of equity (CAPM: risk-free rate + beta x equity risk premium)</t>
        </is>
      </c>
      <c r="C3" s="9">
        <f>'Assumptions'!$C$45+'Assumptions'!$C$47*'Assumptions'!$C$46</f>
        <v/>
      </c>
    </row>
    <row r="4">
      <c r="B4" t="inlineStr">
        <is>
          <t>After-tax cost of debt (blended rate x (1 - tax rate))</t>
        </is>
      </c>
      <c r="C4" s="9">
        <f>'Assumptions'!$C$61*(1-'Assumptions'!$C$39)</f>
        <v/>
      </c>
    </row>
    <row r="5">
      <c r="B5" t="inlineStr">
        <is>
          <t>WACC</t>
        </is>
      </c>
      <c r="C5" s="9">
        <f>(1-'Assumptions'!$C$48)*'DCF'!$C$3+'Assumptions'!$C$48*'DCF'!$C$4</f>
        <v/>
      </c>
    </row>
    <row r="7">
      <c r="A7" s="1" t="inlineStr">
        <is>
          <t>Unlevered free cash flow — the explicit five years</t>
        </is>
      </c>
    </row>
    <row r="8">
      <c r="B8" t="inlineStr">
        <is>
          <t>EBIT (from the income statement)</t>
        </is>
      </c>
      <c r="F8" s="13">
        <f>'IS'!F12</f>
        <v/>
      </c>
      <c r="G8" s="13">
        <f>'IS'!G12</f>
        <v/>
      </c>
      <c r="H8" s="13">
        <f>'IS'!H12</f>
        <v/>
      </c>
      <c r="I8" s="13">
        <f>'IS'!I12</f>
        <v/>
      </c>
      <c r="J8" s="13">
        <f>'IS'!J12</f>
        <v/>
      </c>
    </row>
    <row r="9">
      <c r="B9" t="inlineStr">
        <is>
          <t>EBIT after tax (unlevered: nothing below EBIT enters this sheet)</t>
        </is>
      </c>
      <c r="F9" s="3">
        <f>'DCF'!F8*(1-'Assumptions'!$C$39)</f>
        <v/>
      </c>
      <c r="G9" s="3">
        <f>'DCF'!G8*(1-'Assumptions'!$C$39)</f>
        <v/>
      </c>
      <c r="H9" s="3">
        <f>'DCF'!H8*(1-'Assumptions'!$C$39)</f>
        <v/>
      </c>
      <c r="I9" s="3">
        <f>'DCF'!I8*(1-'Assumptions'!$C$39)</f>
        <v/>
      </c>
      <c r="J9" s="3">
        <f>'DCF'!J8*(1-'Assumptions'!$C$39)</f>
        <v/>
      </c>
    </row>
    <row r="10">
      <c r="B10" t="inlineStr">
        <is>
          <t>Depreciation and amortisation (added back)</t>
        </is>
      </c>
      <c r="F10" s="13">
        <f>'IS'!F11</f>
        <v/>
      </c>
      <c r="G10" s="13">
        <f>'IS'!G11</f>
        <v/>
      </c>
      <c r="H10" s="13">
        <f>'IS'!H11</f>
        <v/>
      </c>
      <c r="I10" s="13">
        <f>'IS'!I11</f>
        <v/>
      </c>
      <c r="J10" s="13">
        <f>'IS'!J11</f>
        <v/>
      </c>
    </row>
    <row r="11">
      <c r="B11" t="inlineStr">
        <is>
          <t>Total cash capex (PP&amp;E + intangible)</t>
        </is>
      </c>
      <c r="F11" s="13">
        <f>'Schedules'!F21</f>
        <v/>
      </c>
      <c r="G11" s="13">
        <f>'Schedules'!G21</f>
        <v/>
      </c>
      <c r="H11" s="13">
        <f>'Schedules'!H21</f>
        <v/>
      </c>
      <c r="I11" s="13">
        <f>'Schedules'!I21</f>
        <v/>
      </c>
      <c r="J11" s="13">
        <f>'Schedules'!J21</f>
        <v/>
      </c>
    </row>
    <row r="12">
      <c r="B12" t="inlineStr">
        <is>
          <t>New ROU asset additions (an investing outflow — leases are debt here)</t>
        </is>
      </c>
      <c r="F12" s="13">
        <f>'Schedules'!F25</f>
        <v/>
      </c>
      <c r="G12" s="13">
        <f>'Schedules'!G25</f>
        <v/>
      </c>
      <c r="H12" s="13">
        <f>'Schedules'!H25</f>
        <v/>
      </c>
      <c r="I12" s="13">
        <f>'Schedules'!I25</f>
        <v/>
      </c>
      <c r="J12" s="13">
        <f>'Schedules'!J25</f>
        <v/>
      </c>
    </row>
    <row r="13">
      <c r="B13" t="inlineStr">
        <is>
          <t>Increase in net working capital</t>
        </is>
      </c>
      <c r="F13" s="13">
        <f>'Schedules'!F8</f>
        <v/>
      </c>
      <c r="G13" s="13">
        <f>'Schedules'!G8</f>
        <v/>
      </c>
      <c r="H13" s="13">
        <f>'Schedules'!H8</f>
        <v/>
      </c>
      <c r="I13" s="13">
        <f>'Schedules'!I8</f>
        <v/>
      </c>
      <c r="J13" s="13">
        <f>'Schedules'!J8</f>
        <v/>
      </c>
    </row>
    <row r="14">
      <c r="B14" t="inlineStr">
        <is>
          <t>Unlevered free cash flow</t>
        </is>
      </c>
      <c r="F14" s="3">
        <f>'DCF'!F9+'DCF'!F10-'DCF'!F11-'DCF'!F12-'DCF'!F13</f>
        <v/>
      </c>
      <c r="G14" s="3">
        <f>'DCF'!G9+'DCF'!G10-'DCF'!G11-'DCF'!G12-'DCF'!G13</f>
        <v/>
      </c>
      <c r="H14" s="3">
        <f>'DCF'!H9+'DCF'!H10-'DCF'!H11-'DCF'!H12-'DCF'!H13</f>
        <v/>
      </c>
      <c r="I14" s="3">
        <f>'DCF'!I9+'DCF'!I10-'DCF'!I11-'DCF'!I12-'DCF'!I13</f>
        <v/>
      </c>
      <c r="J14" s="3">
        <f>'DCF'!J9+'DCF'!J10-'DCF'!J11-'DCF'!J12-'DCF'!J13</f>
        <v/>
      </c>
    </row>
    <row r="15">
      <c r="B15" t="inlineStr">
        <is>
          <t>Discount period (years, mid-year convention)</t>
        </is>
      </c>
      <c r="F15" s="12">
        <f>COLUMN()-COLUMN('DCF'!$F$14)+0.5</f>
        <v/>
      </c>
      <c r="G15" s="12">
        <f>COLUMN()-COLUMN('DCF'!$F$14)+0.5</f>
        <v/>
      </c>
      <c r="H15" s="12">
        <f>COLUMN()-COLUMN('DCF'!$F$14)+0.5</f>
        <v/>
      </c>
      <c r="I15" s="12">
        <f>COLUMN()-COLUMN('DCF'!$F$14)+0.5</f>
        <v/>
      </c>
      <c r="J15" s="12">
        <f>COLUMN()-COLUMN('DCF'!$F$14)+0.5</f>
        <v/>
      </c>
    </row>
    <row r="16">
      <c r="B16" t="inlineStr">
        <is>
          <t>Discount factor</t>
        </is>
      </c>
      <c r="F16" s="12">
        <f>(1+'DCF'!$C$5)^'DCF'!F15</f>
        <v/>
      </c>
      <c r="G16" s="12">
        <f>(1+'DCF'!$C$5)^'DCF'!G15</f>
        <v/>
      </c>
      <c r="H16" s="12">
        <f>(1+'DCF'!$C$5)^'DCF'!H15</f>
        <v/>
      </c>
      <c r="I16" s="12">
        <f>(1+'DCF'!$C$5)^'DCF'!I15</f>
        <v/>
      </c>
      <c r="J16" s="12">
        <f>(1+'DCF'!$C$5)^'DCF'!J15</f>
        <v/>
      </c>
    </row>
    <row r="17">
      <c r="B17" t="inlineStr">
        <is>
          <t>PV of unlevered free cash flow</t>
        </is>
      </c>
      <c r="F17" s="3">
        <f>'DCF'!F14/'DCF'!F16</f>
        <v/>
      </c>
      <c r="G17" s="3">
        <f>'DCF'!G14/'DCF'!G16</f>
        <v/>
      </c>
      <c r="H17" s="3">
        <f>'DCF'!H14/'DCF'!H16</f>
        <v/>
      </c>
      <c r="I17" s="3">
        <f>'DCF'!I14/'DCF'!I16</f>
        <v/>
      </c>
      <c r="J17" s="3">
        <f>'DCF'!J14/'DCF'!J16</f>
        <v/>
      </c>
    </row>
    <row r="19">
      <c r="A19" s="1" t="inlineStr">
        <is>
          <t>Terminal year — the final year rebuilt at the perpetuity growth rate</t>
        </is>
      </c>
    </row>
    <row r="20">
      <c r="B20" t="inlineStr">
        <is>
          <t>This block is NOT FY2030. Every investment and depreciation intensity below is re-derived at the perpetuity growth rate g*, because FY2030's were derived to sustain the estate at that scenario's own terminal revenue growth and still carry the tail of the distribution-centre programme. The revenue LEVEL is FY2030's; the (1 + g*) step to the first perpetuity year is applied by the Gordon formula below.</t>
        </is>
      </c>
    </row>
    <row r="21">
      <c r="B21" t="inlineStr">
        <is>
          <t>Perpetuity growth rate (g*)</t>
        </is>
      </c>
      <c r="C21" s="14">
        <f>'Assumptions'!$C$49</f>
        <v/>
      </c>
    </row>
    <row r="22">
      <c r="B22" t="inlineStr">
        <is>
          <t>Terminal PP&amp;E / revenue (post-programme anchor)</t>
        </is>
      </c>
      <c r="C22" s="9">
        <f>('BS'!J3/'IS'!J3)/(1+'DCF'!$C$21)^(1/'Assumptions'!$C$37)</f>
        <v/>
      </c>
    </row>
    <row r="23">
      <c r="B23" t="inlineStr">
        <is>
          <t>Terminal ROU assets / revenue (FY2025 actual)</t>
        </is>
      </c>
      <c r="C23" s="9">
        <f>'Historicals'!E21/'Historicals'!E3</f>
        <v/>
      </c>
    </row>
    <row r="24">
      <c r="B24" t="inlineStr">
        <is>
          <t>Terminal total capex (% of revenue, sustaining, grossed up for intangibles)</t>
        </is>
      </c>
      <c r="C24" s="9">
        <f>'DCF'!$C$22*('DCF'!$C$21+'Assumptions'!$C$37)/(1+'DCF'!$C$21)/'Assumptions'!$C$59</f>
        <v/>
      </c>
    </row>
    <row r="25">
      <c r="B25" t="inlineStr">
        <is>
          <t>Terminal ROU additions (% of revenue, sustaining)</t>
        </is>
      </c>
      <c r="C25" s="9">
        <f>'DCF'!$C$23*('DCF'!$C$21+'Assumptions'!$C$38)/(1+'DCF'!$C$21)</f>
        <v/>
      </c>
    </row>
    <row r="26">
      <c r="B26" t="inlineStr">
        <is>
          <t>Terminal PP&amp;E depreciation (% of revenue)</t>
        </is>
      </c>
      <c r="C26" s="9">
        <f>'Assumptions'!$C$37*'DCF'!$C$22/(1+'DCF'!$C$21)</f>
        <v/>
      </c>
    </row>
    <row r="27">
      <c r="B27" t="inlineStr">
        <is>
          <t>Terminal ROU depreciation (% of revenue)</t>
        </is>
      </c>
      <c r="C27" s="9">
        <f>'Assumptions'!$C$38*'DCF'!$C$23/(1+'DCF'!$C$21)</f>
        <v/>
      </c>
    </row>
    <row r="28">
      <c r="B28" t="inlineStr">
        <is>
          <t>Terminal intangible additions (% of revenue)</t>
        </is>
      </c>
      <c r="C28" s="9">
        <f>'DCF'!$C$24*'Assumptions'!$C$58</f>
        <v/>
      </c>
    </row>
    <row r="29">
      <c r="B29" t="inlineStr">
        <is>
          <t>Terminal amortisation (% of revenue)</t>
        </is>
      </c>
      <c r="C29" s="9">
        <f>'DCF'!$C$28*'Assumptions'!$C$60/('DCF'!$C$21+'Assumptions'!$C$60)</f>
        <v/>
      </c>
    </row>
    <row r="30">
      <c r="B30" t="inlineStr">
        <is>
          <t>Terminal D&amp;A (% of revenue)</t>
        </is>
      </c>
      <c r="C30" s="9">
        <f>'DCF'!$C$26+'DCF'!$C$27+'DCF'!$C$29</f>
        <v/>
      </c>
    </row>
    <row r="31">
      <c r="B31" t="inlineStr">
        <is>
          <t>Terminal net working capital (% of revenue, negative — payables dominate)</t>
        </is>
      </c>
      <c r="C31" s="9">
        <f>'Schedules'!J6/'IS'!J3</f>
        <v/>
      </c>
    </row>
    <row r="32">
      <c r="B32" t="inlineStr">
        <is>
          <t>Terminal revenue (the FY2030 LEVEL, not FY2031's)</t>
        </is>
      </c>
      <c r="C32" s="13">
        <f>'IS'!J3</f>
        <v/>
      </c>
    </row>
    <row r="33">
      <c r="B33" t="inlineStr">
        <is>
          <t>Terminal EBITDA margin (FY2030 gross margin less FY2030 opex ratio)</t>
        </is>
      </c>
      <c r="C33" s="9">
        <f>'Assumptions'!J27-'Assumptions'!J28</f>
        <v/>
      </c>
    </row>
    <row r="34">
      <c r="B34" t="inlineStr">
        <is>
          <t>Terminal EBITDA (margin x revenue)</t>
        </is>
      </c>
      <c r="C34" s="3">
        <f>'DCF'!$C$33*'DCF'!$C$32</f>
        <v/>
      </c>
    </row>
    <row r="35">
      <c r="B35" t="inlineStr">
        <is>
          <t>Terminal depreciation and amortisation</t>
        </is>
      </c>
      <c r="C35" s="3">
        <f>'DCF'!$C$30*'DCF'!$C$32</f>
        <v/>
      </c>
    </row>
    <row r="36">
      <c r="B36" t="inlineStr">
        <is>
          <t>Terminal EBIT</t>
        </is>
      </c>
      <c r="C36" s="3">
        <f>'DCF'!$C$34-'DCF'!$C$35</f>
        <v/>
      </c>
    </row>
    <row r="37">
      <c r="B37" t="inlineStr">
        <is>
          <t>Terminal total cash capex</t>
        </is>
      </c>
      <c r="C37" s="3">
        <f>'DCF'!$C$24*'DCF'!$C$32</f>
        <v/>
      </c>
    </row>
    <row r="38">
      <c r="B38" t="inlineStr">
        <is>
          <t>Terminal ROU asset additions</t>
        </is>
      </c>
      <c r="C38" s="3">
        <f>'DCF'!$C$25*'DCF'!$C$32</f>
        <v/>
      </c>
    </row>
    <row r="39">
      <c r="B39" t="inlineStr">
        <is>
          <t>Terminal increase in net working capital (negative = cash released)</t>
        </is>
      </c>
      <c r="C39" s="3">
        <f>'DCF'!$C$31*'DCF'!$C$21/(1+'DCF'!$C$21)*'DCF'!$C$32</f>
        <v/>
      </c>
    </row>
    <row r="40">
      <c r="B40" t="inlineStr">
        <is>
          <t>Terminal unlevered free cash flow</t>
        </is>
      </c>
      <c r="C40" s="3">
        <f>'DCF'!$C$36*(1-'Assumptions'!$C$39)+'DCF'!$C$35-'DCF'!$C$37-'DCF'!$C$38-'DCF'!$C$39</f>
        <v/>
      </c>
    </row>
    <row r="41">
      <c r="B41" t="inlineStr">
        <is>
          <t>Terminal D&amp;A / EBITDA (the capital intensity Comps prices)</t>
        </is>
      </c>
      <c r="C41" s="9">
        <f>'DCF'!$C$35/'DCF'!$C$34</f>
        <v/>
      </c>
    </row>
    <row r="43">
      <c r="A43" s="1" t="inlineStr">
        <is>
          <t>Terminal value</t>
        </is>
      </c>
    </row>
    <row r="44">
      <c r="B44" t="inlineStr">
        <is>
          <t>Terminal value (Gordon growth)</t>
        </is>
      </c>
      <c r="C44" s="3">
        <f>'DCF'!$C$40*(1+'DCF'!$C$21)/('DCF'!$C$5-'DCF'!$C$21)</f>
        <v/>
      </c>
    </row>
    <row r="45">
      <c r="B45" t="inlineStr">
        <is>
          <t>Excess PP&amp;E over the re-based base, at FY2029</t>
        </is>
      </c>
      <c r="C45" s="3">
        <f>'BS'!I3-'DCF'!$C$22*'IS'!I3</f>
        <v/>
      </c>
    </row>
    <row r="46">
      <c r="B46" t="inlineStr">
        <is>
          <t>Decay factor x = (1 - PP&amp;E depreciation rate) / (1 + WACC)</t>
        </is>
      </c>
      <c r="C46" s="12">
        <f>(1-'Assumptions'!$C$37)/(1+'DCF'!$C$5)</f>
        <v/>
      </c>
    </row>
    <row r="47">
      <c r="B47" t="inlineStr">
        <is>
          <t>Value at the terminal date of the excess PP&amp;E tax shield</t>
        </is>
      </c>
      <c r="C47" s="3">
        <f>'Assumptions'!$C$39*'Assumptions'!$C$37*'DCF'!$C$45*'DCF'!$C$46/(1-'DCF'!$C$46)</f>
        <v/>
      </c>
    </row>
    <row r="48">
      <c r="B48" t="inlineStr">
        <is>
          <t>Terminal value (exit multiple)</t>
        </is>
      </c>
      <c r="C48" s="3">
        <f>'IS'!J7*'Assumptions'!$C$31</f>
        <v/>
      </c>
    </row>
    <row r="49">
      <c r="B49" t="inlineStr">
        <is>
          <t>READ THIS BEFORE USING THE ROW ABOVE: it is NOT an independent second method and it must not be taken as corroboration of the Gordon value. EV/EBITDA = EV/EBIT x (1 - D&amp;A/EBITDA) is an identity, and the exit multiple on Assumptions IS the peer median EV/EBIT read at this terminal year's own D&amp;A/EBITDA, so the EBITDA cancels and this row is exactly the peer median EV/EBIT x terminal EBIT — one peer statistic (the median of five is J D Wetherspoon alone) applied to the model's own EBIT. The two rows that follow are the proof. It builds no part of the enterprise value below.</t>
        </is>
      </c>
    </row>
    <row r="50">
      <c r="B50" t="inlineStr">
        <is>
          <t>Memo: exit-multiple TV / terminal EBIT (equals the peer median EV/EBIT)</t>
        </is>
      </c>
      <c r="C50" s="4">
        <f>'DCF'!$C$48/'DCF'!$C$36</f>
        <v/>
      </c>
    </row>
    <row r="51">
      <c r="B51" t="inlineStr">
        <is>
          <t>Memo: peer median EV/EBIT from Comps (the row above, to 2dp rounding)</t>
        </is>
      </c>
      <c r="C51" s="15">
        <f>'Comps'!$J$18</f>
        <v/>
      </c>
    </row>
    <row r="52">
      <c r="B52" t="inlineStr">
        <is>
          <t>Gordon terminal value / terminal EBITDA (the multiple Gordon implies)</t>
        </is>
      </c>
      <c r="C52" s="4">
        <f>'DCF'!$C$44/'DCF'!$C$34</f>
        <v/>
      </c>
    </row>
    <row r="53">
      <c r="B53" t="inlineStr">
        <is>
          <t>Gordon terminal value / terminal EBIT (the like-for-like peer comparison)</t>
        </is>
      </c>
      <c r="C53" s="4">
        <f>'DCF'!$C$44/'DCF'!$C$36</f>
        <v/>
      </c>
    </row>
    <row r="54">
      <c r="B54" t="inlineStr">
        <is>
          <t>The comparison to make against the peer set is the EV/EBIT one, not the EV/EBITDA one. The model deliberately builds a more capital-intensive Greggs by FY2030, and a higher D&amp;A share mechanically lowers the coherent EBITDA multiple without saying anything about rating: across the three scenarios the Gordon terminal value sits 14% to 26% below the peer median on EV/EBIT against 17% to 50% below on EV/EBITDA. What is left after that artefact is a real disagreement about terminal reinvestment intensity, and it is not tuned away.</t>
        </is>
      </c>
    </row>
    <row r="56">
      <c r="A56" s="1" t="inlineStr">
        <is>
          <t>Enterprise value and the bridge to equity</t>
        </is>
      </c>
    </row>
    <row r="57">
      <c r="B57" t="inlineStr">
        <is>
          <t>PV of the explicit forecast period</t>
        </is>
      </c>
      <c r="C57" s="3">
        <f>'DCF'!F17+'DCF'!G17+'DCF'!H17+'DCF'!I17+'DCF'!J17</f>
        <v/>
      </c>
    </row>
    <row r="58">
      <c r="B58" t="inlineStr">
        <is>
          <t>PV of the terminal value (Gordon plus the excess PP&amp;E shield)</t>
        </is>
      </c>
      <c r="C58" s="3">
        <f>('DCF'!$C$44+'DCF'!$C$47)/'DCF'!J16</f>
        <v/>
      </c>
    </row>
    <row r="59">
      <c r="B59" t="inlineStr">
        <is>
          <t>Enterprise value</t>
        </is>
      </c>
      <c r="C59" s="3">
        <f>'DCF'!$C$57+'DCF'!$C$58</f>
        <v/>
      </c>
    </row>
    <row r="60">
      <c r="B60" t="inlineStr">
        <is>
          <t>Terminal value as a share of enterprise value</t>
        </is>
      </c>
      <c r="C60" s="9">
        <f>'DCF'!$C$58/'DCF'!$C$59</f>
        <v/>
      </c>
    </row>
    <row r="61">
      <c r="B61" t="inlineStr">
        <is>
          <t>Net debt at FY2025 (borrowings less cash, excluding leases)</t>
        </is>
      </c>
      <c r="C61" s="3">
        <f>'Historicals'!E31-'Historicals'!E25</f>
        <v/>
      </c>
    </row>
    <row r="62">
      <c r="B62" t="inlineStr">
        <is>
          <t>Lease liabilities at FY2025 (deducted as debt, as in the WACC weight)</t>
        </is>
      </c>
      <c r="C62" s="13">
        <f>'Historicals'!E30</f>
        <v/>
      </c>
    </row>
    <row r="63">
      <c r="B63" t="inlineStr">
        <is>
          <t>Equity value</t>
        </is>
      </c>
      <c r="C63" s="3">
        <f>'DCF'!$C$59-'DCF'!$C$61-'DCF'!$C$62</f>
        <v/>
      </c>
    </row>
    <row r="64">
      <c r="B64" t="inlineStr">
        <is>
          <t>Shares in issue (weighted average diluted, m)</t>
        </is>
      </c>
      <c r="C64" s="16">
        <f>'Historicals'!E44</f>
        <v/>
      </c>
    </row>
    <row r="65">
      <c r="B65" t="inlineStr">
        <is>
          <t>Implied share price (p)</t>
        </is>
      </c>
      <c r="C65" s="17">
        <f>'DCF'!$C$63/'DCF'!$C$64*100</f>
        <v/>
      </c>
    </row>
    <row r="66">
      <c r="B66" t="inlineStr">
        <is>
          <t>Implied share price against the traded price on Comps</t>
        </is>
      </c>
      <c r="C66" s="9">
        <f>'DCF'!$C$65/'Comps'!$C$24-1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Sensitivity — every cell recomputed from its own axis pair</t>
        </is>
      </c>
    </row>
    <row r="3">
      <c r="A3" s="1" t="inlineStr">
        <is>
          <t>Implied share price (p) — perpetuity growth across, WACC down. The centre cell is the DCF's own answer.</t>
        </is>
      </c>
    </row>
    <row r="4">
      <c r="B4" t="inlineStr">
        <is>
          <t>Perpetuity growth (across)</t>
        </is>
      </c>
      <c r="D4" s="9">
        <f>'DCF'!$C$21-0.005</f>
        <v/>
      </c>
      <c r="E4" s="9">
        <f>'DCF'!$C$21-0.0025</f>
        <v/>
      </c>
      <c r="F4" s="9">
        <f>'DCF'!$C$21</f>
        <v/>
      </c>
      <c r="G4" s="9">
        <f>'DCF'!$C$21+0.0025</f>
        <v/>
      </c>
      <c r="H4" s="9">
        <f>'DCF'!$C$21+0.005</f>
        <v/>
      </c>
    </row>
    <row r="5">
      <c r="B5" t="inlineStr">
        <is>
          <t>WACC less 100bp</t>
        </is>
      </c>
      <c r="C5" s="9">
        <f>'DCF'!$C$5-0.01</f>
        <v/>
      </c>
      <c r="D5" s="17">
        <f>('DCF'!$F$14/(1+$C5)^'DCF'!$F$15+'DCF'!$G$14/(1+$C5)^'DCF'!$G$15+'DCF'!$H$14/(1+$C5)^'DCF'!$H$15+'DCF'!$I$14/(1+$C5)^'DCF'!$I$15+'DCF'!$J$14/(1+$C5)^'DCF'!$J$15+('Sensitivity'!D26*(1+D$4)/($C5-D$4)+'Assumptions'!$C$39*'Assumptions'!$C$37*'Sensitivity'!D27*(1-'Assumptions'!$C$37)/(1+$C5)/(1-(1-'Assumptions'!$C$37)/(1+$C5)))/(1+$C5)^'DCF'!$J$15-'DCF'!$C$61-'DCF'!$C$62)/'DCF'!$C$64*100</f>
        <v/>
      </c>
      <c r="E5" s="17">
        <f>('DCF'!$F$14/(1+$C5)^'DCF'!$F$15+'DCF'!$G$14/(1+$C5)^'DCF'!$G$15+'DCF'!$H$14/(1+$C5)^'DCF'!$H$15+'DCF'!$I$14/(1+$C5)^'DCF'!$I$15+'DCF'!$J$14/(1+$C5)^'DCF'!$J$15+('Sensitivity'!E26*(1+E$4)/($C5-E$4)+'Assumptions'!$C$39*'Assumptions'!$C$37*'Sensitivity'!E27*(1-'Assumptions'!$C$37)/(1+$C5)/(1-(1-'Assumptions'!$C$37)/(1+$C5)))/(1+$C5)^'DCF'!$J$15-'DCF'!$C$61-'DCF'!$C$62)/'DCF'!$C$64*100</f>
        <v/>
      </c>
      <c r="F5" s="17">
        <f>('DCF'!$F$14/(1+$C5)^'DCF'!$F$15+'DCF'!$G$14/(1+$C5)^'DCF'!$G$15+'DCF'!$H$14/(1+$C5)^'DCF'!$H$15+'DCF'!$I$14/(1+$C5)^'DCF'!$I$15+'DCF'!$J$14/(1+$C5)^'DCF'!$J$15+('Sensitivity'!F26*(1+F$4)/($C5-F$4)+'Assumptions'!$C$39*'Assumptions'!$C$37*'Sensitivity'!F27*(1-'Assumptions'!$C$37)/(1+$C5)/(1-(1-'Assumptions'!$C$37)/(1+$C5)))/(1+$C5)^'DCF'!$J$15-'DCF'!$C$61-'DCF'!$C$62)/'DCF'!$C$64*100</f>
        <v/>
      </c>
      <c r="G5" s="17">
        <f>('DCF'!$F$14/(1+$C5)^'DCF'!$F$15+'DCF'!$G$14/(1+$C5)^'DCF'!$G$15+'DCF'!$H$14/(1+$C5)^'DCF'!$H$15+'DCF'!$I$14/(1+$C5)^'DCF'!$I$15+'DCF'!$J$14/(1+$C5)^'DCF'!$J$15+('Sensitivity'!G26*(1+G$4)/($C5-G$4)+'Assumptions'!$C$39*'Assumptions'!$C$37*'Sensitivity'!G27*(1-'Assumptions'!$C$37)/(1+$C5)/(1-(1-'Assumptions'!$C$37)/(1+$C5)))/(1+$C5)^'DCF'!$J$15-'DCF'!$C$61-'DCF'!$C$62)/'DCF'!$C$64*100</f>
        <v/>
      </c>
      <c r="H5" s="17">
        <f>('DCF'!$F$14/(1+$C5)^'DCF'!$F$15+'DCF'!$G$14/(1+$C5)^'DCF'!$G$15+'DCF'!$H$14/(1+$C5)^'DCF'!$H$15+'DCF'!$I$14/(1+$C5)^'DCF'!$I$15+'DCF'!$J$14/(1+$C5)^'DCF'!$J$15+('Sensitivity'!H26*(1+H$4)/($C5-H$4)+'Assumptions'!$C$39*'Assumptions'!$C$37*'Sensitivity'!H27*(1-'Assumptions'!$C$37)/(1+$C5)/(1-(1-'Assumptions'!$C$37)/(1+$C5)))/(1+$C5)^'DCF'!$J$15-'DCF'!$C$61-'DCF'!$C$62)/'DCF'!$C$64*100</f>
        <v/>
      </c>
    </row>
    <row r="6">
      <c r="B6" t="inlineStr">
        <is>
          <t>WACC less 50bp</t>
        </is>
      </c>
      <c r="C6" s="9">
        <f>'DCF'!$C$5-0.005</f>
        <v/>
      </c>
      <c r="D6" s="17">
        <f>('DCF'!$F$14/(1+$C6)^'DCF'!$F$15+'DCF'!$G$14/(1+$C6)^'DCF'!$G$15+'DCF'!$H$14/(1+$C6)^'DCF'!$H$15+'DCF'!$I$14/(1+$C6)^'DCF'!$I$15+'DCF'!$J$14/(1+$C6)^'DCF'!$J$15+('Sensitivity'!D26*(1+D$4)/($C6-D$4)+'Assumptions'!$C$39*'Assumptions'!$C$37*'Sensitivity'!D27*(1-'Assumptions'!$C$37)/(1+$C6)/(1-(1-'Assumptions'!$C$37)/(1+$C6)))/(1+$C6)^'DCF'!$J$15-'DCF'!$C$61-'DCF'!$C$62)/'DCF'!$C$64*100</f>
        <v/>
      </c>
      <c r="E6" s="17">
        <f>('DCF'!$F$14/(1+$C6)^'DCF'!$F$15+'DCF'!$G$14/(1+$C6)^'DCF'!$G$15+'DCF'!$H$14/(1+$C6)^'DCF'!$H$15+'DCF'!$I$14/(1+$C6)^'DCF'!$I$15+'DCF'!$J$14/(1+$C6)^'DCF'!$J$15+('Sensitivity'!E26*(1+E$4)/($C6-E$4)+'Assumptions'!$C$39*'Assumptions'!$C$37*'Sensitivity'!E27*(1-'Assumptions'!$C$37)/(1+$C6)/(1-(1-'Assumptions'!$C$37)/(1+$C6)))/(1+$C6)^'DCF'!$J$15-'DCF'!$C$61-'DCF'!$C$62)/'DCF'!$C$64*100</f>
        <v/>
      </c>
      <c r="F6" s="17">
        <f>('DCF'!$F$14/(1+$C6)^'DCF'!$F$15+'DCF'!$G$14/(1+$C6)^'DCF'!$G$15+'DCF'!$H$14/(1+$C6)^'DCF'!$H$15+'DCF'!$I$14/(1+$C6)^'DCF'!$I$15+'DCF'!$J$14/(1+$C6)^'DCF'!$J$15+('Sensitivity'!F26*(1+F$4)/($C6-F$4)+'Assumptions'!$C$39*'Assumptions'!$C$37*'Sensitivity'!F27*(1-'Assumptions'!$C$37)/(1+$C6)/(1-(1-'Assumptions'!$C$37)/(1+$C6)))/(1+$C6)^'DCF'!$J$15-'DCF'!$C$61-'DCF'!$C$62)/'DCF'!$C$64*100</f>
        <v/>
      </c>
      <c r="G6" s="17">
        <f>('DCF'!$F$14/(1+$C6)^'DCF'!$F$15+'DCF'!$G$14/(1+$C6)^'DCF'!$G$15+'DCF'!$H$14/(1+$C6)^'DCF'!$H$15+'DCF'!$I$14/(1+$C6)^'DCF'!$I$15+'DCF'!$J$14/(1+$C6)^'DCF'!$J$15+('Sensitivity'!G26*(1+G$4)/($C6-G$4)+'Assumptions'!$C$39*'Assumptions'!$C$37*'Sensitivity'!G27*(1-'Assumptions'!$C$37)/(1+$C6)/(1-(1-'Assumptions'!$C$37)/(1+$C6)))/(1+$C6)^'DCF'!$J$15-'DCF'!$C$61-'DCF'!$C$62)/'DCF'!$C$64*100</f>
        <v/>
      </c>
      <c r="H6" s="17">
        <f>('DCF'!$F$14/(1+$C6)^'DCF'!$F$15+'DCF'!$G$14/(1+$C6)^'DCF'!$G$15+'DCF'!$H$14/(1+$C6)^'DCF'!$H$15+'DCF'!$I$14/(1+$C6)^'DCF'!$I$15+'DCF'!$J$14/(1+$C6)^'DCF'!$J$15+('Sensitivity'!H26*(1+H$4)/($C6-H$4)+'Assumptions'!$C$39*'Assumptions'!$C$37*'Sensitivity'!H27*(1-'Assumptions'!$C$37)/(1+$C6)/(1-(1-'Assumptions'!$C$37)/(1+$C6)))/(1+$C6)^'DCF'!$J$15-'DCF'!$C$61-'DCF'!$C$62)/'DCF'!$C$64*100</f>
        <v/>
      </c>
    </row>
    <row r="7">
      <c r="B7" t="inlineStr">
        <is>
          <t>WACC (the model's own)</t>
        </is>
      </c>
      <c r="C7" s="9">
        <f>'DCF'!$C$5</f>
        <v/>
      </c>
      <c r="D7" s="17">
        <f>('DCF'!$F$14/(1+$C7)^'DCF'!$F$15+'DCF'!$G$14/(1+$C7)^'DCF'!$G$15+'DCF'!$H$14/(1+$C7)^'DCF'!$H$15+'DCF'!$I$14/(1+$C7)^'DCF'!$I$15+'DCF'!$J$14/(1+$C7)^'DCF'!$J$15+('Sensitivity'!D26*(1+D$4)/($C7-D$4)+'Assumptions'!$C$39*'Assumptions'!$C$37*'Sensitivity'!D27*(1-'Assumptions'!$C$37)/(1+$C7)/(1-(1-'Assumptions'!$C$37)/(1+$C7)))/(1+$C7)^'DCF'!$J$15-'DCF'!$C$61-'DCF'!$C$62)/'DCF'!$C$64*100</f>
        <v/>
      </c>
      <c r="E7" s="17">
        <f>('DCF'!$F$14/(1+$C7)^'DCF'!$F$15+'DCF'!$G$14/(1+$C7)^'DCF'!$G$15+'DCF'!$H$14/(1+$C7)^'DCF'!$H$15+'DCF'!$I$14/(1+$C7)^'DCF'!$I$15+'DCF'!$J$14/(1+$C7)^'DCF'!$J$15+('Sensitivity'!E26*(1+E$4)/($C7-E$4)+'Assumptions'!$C$39*'Assumptions'!$C$37*'Sensitivity'!E27*(1-'Assumptions'!$C$37)/(1+$C7)/(1-(1-'Assumptions'!$C$37)/(1+$C7)))/(1+$C7)^'DCF'!$J$15-'DCF'!$C$61-'DCF'!$C$62)/'DCF'!$C$64*100</f>
        <v/>
      </c>
      <c r="F7" s="17">
        <f>('DCF'!$F$14/(1+$C7)^'DCF'!$F$15+'DCF'!$G$14/(1+$C7)^'DCF'!$G$15+'DCF'!$H$14/(1+$C7)^'DCF'!$H$15+'DCF'!$I$14/(1+$C7)^'DCF'!$I$15+'DCF'!$J$14/(1+$C7)^'DCF'!$J$15+('Sensitivity'!F26*(1+F$4)/($C7-F$4)+'Assumptions'!$C$39*'Assumptions'!$C$37*'Sensitivity'!F27*(1-'Assumptions'!$C$37)/(1+$C7)/(1-(1-'Assumptions'!$C$37)/(1+$C7)))/(1+$C7)^'DCF'!$J$15-'DCF'!$C$61-'DCF'!$C$62)/'DCF'!$C$64*100</f>
        <v/>
      </c>
      <c r="G7" s="17">
        <f>('DCF'!$F$14/(1+$C7)^'DCF'!$F$15+'DCF'!$G$14/(1+$C7)^'DCF'!$G$15+'DCF'!$H$14/(1+$C7)^'DCF'!$H$15+'DCF'!$I$14/(1+$C7)^'DCF'!$I$15+'DCF'!$J$14/(1+$C7)^'DCF'!$J$15+('Sensitivity'!G26*(1+G$4)/($C7-G$4)+'Assumptions'!$C$39*'Assumptions'!$C$37*'Sensitivity'!G27*(1-'Assumptions'!$C$37)/(1+$C7)/(1-(1-'Assumptions'!$C$37)/(1+$C7)))/(1+$C7)^'DCF'!$J$15-'DCF'!$C$61-'DCF'!$C$62)/'DCF'!$C$64*100</f>
        <v/>
      </c>
      <c r="H7" s="17">
        <f>('DCF'!$F$14/(1+$C7)^'DCF'!$F$15+'DCF'!$G$14/(1+$C7)^'DCF'!$G$15+'DCF'!$H$14/(1+$C7)^'DCF'!$H$15+'DCF'!$I$14/(1+$C7)^'DCF'!$I$15+'DCF'!$J$14/(1+$C7)^'DCF'!$J$15+('Sensitivity'!H26*(1+H$4)/($C7-H$4)+'Assumptions'!$C$39*'Assumptions'!$C$37*'Sensitivity'!H27*(1-'Assumptions'!$C$37)/(1+$C7)/(1-(1-'Assumptions'!$C$37)/(1+$C7)))/(1+$C7)^'DCF'!$J$15-'DCF'!$C$61-'DCF'!$C$62)/'DCF'!$C$64*100</f>
        <v/>
      </c>
    </row>
    <row r="8">
      <c r="B8" t="inlineStr">
        <is>
          <t>WACC plus 50bp</t>
        </is>
      </c>
      <c r="C8" s="9">
        <f>'DCF'!$C$5+0.005</f>
        <v/>
      </c>
      <c r="D8" s="17">
        <f>('DCF'!$F$14/(1+$C8)^'DCF'!$F$15+'DCF'!$G$14/(1+$C8)^'DCF'!$G$15+'DCF'!$H$14/(1+$C8)^'DCF'!$H$15+'DCF'!$I$14/(1+$C8)^'DCF'!$I$15+'DCF'!$J$14/(1+$C8)^'DCF'!$J$15+('Sensitivity'!D26*(1+D$4)/($C8-D$4)+'Assumptions'!$C$39*'Assumptions'!$C$37*'Sensitivity'!D27*(1-'Assumptions'!$C$37)/(1+$C8)/(1-(1-'Assumptions'!$C$37)/(1+$C8)))/(1+$C8)^'DCF'!$J$15-'DCF'!$C$61-'DCF'!$C$62)/'DCF'!$C$64*100</f>
        <v/>
      </c>
      <c r="E8" s="17">
        <f>('DCF'!$F$14/(1+$C8)^'DCF'!$F$15+'DCF'!$G$14/(1+$C8)^'DCF'!$G$15+'DCF'!$H$14/(1+$C8)^'DCF'!$H$15+'DCF'!$I$14/(1+$C8)^'DCF'!$I$15+'DCF'!$J$14/(1+$C8)^'DCF'!$J$15+('Sensitivity'!E26*(1+E$4)/($C8-E$4)+'Assumptions'!$C$39*'Assumptions'!$C$37*'Sensitivity'!E27*(1-'Assumptions'!$C$37)/(1+$C8)/(1-(1-'Assumptions'!$C$37)/(1+$C8)))/(1+$C8)^'DCF'!$J$15-'DCF'!$C$61-'DCF'!$C$62)/'DCF'!$C$64*100</f>
        <v/>
      </c>
      <c r="F8" s="17">
        <f>('DCF'!$F$14/(1+$C8)^'DCF'!$F$15+'DCF'!$G$14/(1+$C8)^'DCF'!$G$15+'DCF'!$H$14/(1+$C8)^'DCF'!$H$15+'DCF'!$I$14/(1+$C8)^'DCF'!$I$15+'DCF'!$J$14/(1+$C8)^'DCF'!$J$15+('Sensitivity'!F26*(1+F$4)/($C8-F$4)+'Assumptions'!$C$39*'Assumptions'!$C$37*'Sensitivity'!F27*(1-'Assumptions'!$C$37)/(1+$C8)/(1-(1-'Assumptions'!$C$37)/(1+$C8)))/(1+$C8)^'DCF'!$J$15-'DCF'!$C$61-'DCF'!$C$62)/'DCF'!$C$64*100</f>
        <v/>
      </c>
      <c r="G8" s="17">
        <f>('DCF'!$F$14/(1+$C8)^'DCF'!$F$15+'DCF'!$G$14/(1+$C8)^'DCF'!$G$15+'DCF'!$H$14/(1+$C8)^'DCF'!$H$15+'DCF'!$I$14/(1+$C8)^'DCF'!$I$15+'DCF'!$J$14/(1+$C8)^'DCF'!$J$15+('Sensitivity'!G26*(1+G$4)/($C8-G$4)+'Assumptions'!$C$39*'Assumptions'!$C$37*'Sensitivity'!G27*(1-'Assumptions'!$C$37)/(1+$C8)/(1-(1-'Assumptions'!$C$37)/(1+$C8)))/(1+$C8)^'DCF'!$J$15-'DCF'!$C$61-'DCF'!$C$62)/'DCF'!$C$64*100</f>
        <v/>
      </c>
      <c r="H8" s="17">
        <f>('DCF'!$F$14/(1+$C8)^'DCF'!$F$15+'DCF'!$G$14/(1+$C8)^'DCF'!$G$15+'DCF'!$H$14/(1+$C8)^'DCF'!$H$15+'DCF'!$I$14/(1+$C8)^'DCF'!$I$15+'DCF'!$J$14/(1+$C8)^'DCF'!$J$15+('Sensitivity'!H26*(1+H$4)/($C8-H$4)+'Assumptions'!$C$39*'Assumptions'!$C$37*'Sensitivity'!H27*(1-'Assumptions'!$C$37)/(1+$C8)/(1-(1-'Assumptions'!$C$37)/(1+$C8)))/(1+$C8)^'DCF'!$J$15-'DCF'!$C$61-'DCF'!$C$62)/'DCF'!$C$64*100</f>
        <v/>
      </c>
    </row>
    <row r="9">
      <c r="B9" t="inlineStr">
        <is>
          <t>WACC plus 100bp</t>
        </is>
      </c>
      <c r="C9" s="9">
        <f>'DCF'!$C$5+0.01</f>
        <v/>
      </c>
      <c r="D9" s="17">
        <f>('DCF'!$F$14/(1+$C9)^'DCF'!$F$15+'DCF'!$G$14/(1+$C9)^'DCF'!$G$15+'DCF'!$H$14/(1+$C9)^'DCF'!$H$15+'DCF'!$I$14/(1+$C9)^'DCF'!$I$15+'DCF'!$J$14/(1+$C9)^'DCF'!$J$15+('Sensitivity'!D26*(1+D$4)/($C9-D$4)+'Assumptions'!$C$39*'Assumptions'!$C$37*'Sensitivity'!D27*(1-'Assumptions'!$C$37)/(1+$C9)/(1-(1-'Assumptions'!$C$37)/(1+$C9)))/(1+$C9)^'DCF'!$J$15-'DCF'!$C$61-'DCF'!$C$62)/'DCF'!$C$64*100</f>
        <v/>
      </c>
      <c r="E9" s="17">
        <f>('DCF'!$F$14/(1+$C9)^'DCF'!$F$15+'DCF'!$G$14/(1+$C9)^'DCF'!$G$15+'DCF'!$H$14/(1+$C9)^'DCF'!$H$15+'DCF'!$I$14/(1+$C9)^'DCF'!$I$15+'DCF'!$J$14/(1+$C9)^'DCF'!$J$15+('Sensitivity'!E26*(1+E$4)/($C9-E$4)+'Assumptions'!$C$39*'Assumptions'!$C$37*'Sensitivity'!E27*(1-'Assumptions'!$C$37)/(1+$C9)/(1-(1-'Assumptions'!$C$37)/(1+$C9)))/(1+$C9)^'DCF'!$J$15-'DCF'!$C$61-'DCF'!$C$62)/'DCF'!$C$64*100</f>
        <v/>
      </c>
      <c r="F9" s="17">
        <f>('DCF'!$F$14/(1+$C9)^'DCF'!$F$15+'DCF'!$G$14/(1+$C9)^'DCF'!$G$15+'DCF'!$H$14/(1+$C9)^'DCF'!$H$15+'DCF'!$I$14/(1+$C9)^'DCF'!$I$15+'DCF'!$J$14/(1+$C9)^'DCF'!$J$15+('Sensitivity'!F26*(1+F$4)/($C9-F$4)+'Assumptions'!$C$39*'Assumptions'!$C$37*'Sensitivity'!F27*(1-'Assumptions'!$C$37)/(1+$C9)/(1-(1-'Assumptions'!$C$37)/(1+$C9)))/(1+$C9)^'DCF'!$J$15-'DCF'!$C$61-'DCF'!$C$62)/'DCF'!$C$64*100</f>
        <v/>
      </c>
      <c r="G9" s="17">
        <f>('DCF'!$F$14/(1+$C9)^'DCF'!$F$15+'DCF'!$G$14/(1+$C9)^'DCF'!$G$15+'DCF'!$H$14/(1+$C9)^'DCF'!$H$15+'DCF'!$I$14/(1+$C9)^'DCF'!$I$15+'DCF'!$J$14/(1+$C9)^'DCF'!$J$15+('Sensitivity'!G26*(1+G$4)/($C9-G$4)+'Assumptions'!$C$39*'Assumptions'!$C$37*'Sensitivity'!G27*(1-'Assumptions'!$C$37)/(1+$C9)/(1-(1-'Assumptions'!$C$37)/(1+$C9)))/(1+$C9)^'DCF'!$J$15-'DCF'!$C$61-'DCF'!$C$62)/'DCF'!$C$64*100</f>
        <v/>
      </c>
      <c r="H9" s="17">
        <f>('DCF'!$F$14/(1+$C9)^'DCF'!$F$15+'DCF'!$G$14/(1+$C9)^'DCF'!$G$15+'DCF'!$H$14/(1+$C9)^'DCF'!$H$15+'DCF'!$I$14/(1+$C9)^'DCF'!$I$15+'DCF'!$J$14/(1+$C9)^'DCF'!$J$15+('Sensitivity'!H26*(1+H$4)/($C9-H$4)+'Assumptions'!$C$39*'Assumptions'!$C$37*'Sensitivity'!H27*(1-'Assumptions'!$C$37)/(1+$C9)/(1-(1-'Assumptions'!$C$37)/(1+$C9)))/(1+$C9)^'DCF'!$J$15-'DCF'!$C$61-'DCF'!$C$62)/'DCF'!$C$64*100</f>
        <v/>
      </c>
    </row>
    <row r="11">
      <c r="A11" s="1" t="inlineStr">
        <is>
          <t>Implied terminal EV/EBITDA — the same pairs, read as the multiple the Gordon value puts on terminal EBITDA</t>
        </is>
      </c>
    </row>
    <row r="12">
      <c r="B12" t="inlineStr">
        <is>
          <t>Implied terminal multiple at WACC less 100bp</t>
        </is>
      </c>
      <c r="C12" s="9">
        <f>'DCF'!$C$5-0.01</f>
        <v/>
      </c>
      <c r="D12" s="4">
        <f>'Sensitivity'!D26*(1+D$4)/($C12-D$4)/'DCF'!$C$34</f>
        <v/>
      </c>
      <c r="E12" s="4">
        <f>'Sensitivity'!E26*(1+E$4)/($C12-E$4)/'DCF'!$C$34</f>
        <v/>
      </c>
      <c r="F12" s="4">
        <f>'Sensitivity'!F26*(1+F$4)/($C12-F$4)/'DCF'!$C$34</f>
        <v/>
      </c>
      <c r="G12" s="4">
        <f>'Sensitivity'!G26*(1+G$4)/($C12-G$4)/'DCF'!$C$34</f>
        <v/>
      </c>
      <c r="H12" s="4">
        <f>'Sensitivity'!H26*(1+H$4)/($C12-H$4)/'DCF'!$C$34</f>
        <v/>
      </c>
    </row>
    <row r="13">
      <c r="B13" t="inlineStr">
        <is>
          <t>Implied terminal multiple at WACC less 50bp</t>
        </is>
      </c>
      <c r="C13" s="9">
        <f>'DCF'!$C$5-0.005</f>
        <v/>
      </c>
      <c r="D13" s="4">
        <f>'Sensitivity'!D26*(1+D$4)/($C13-D$4)/'DCF'!$C$34</f>
        <v/>
      </c>
      <c r="E13" s="4">
        <f>'Sensitivity'!E26*(1+E$4)/($C13-E$4)/'DCF'!$C$34</f>
        <v/>
      </c>
      <c r="F13" s="4">
        <f>'Sensitivity'!F26*(1+F$4)/($C13-F$4)/'DCF'!$C$34</f>
        <v/>
      </c>
      <c r="G13" s="4">
        <f>'Sensitivity'!G26*(1+G$4)/($C13-G$4)/'DCF'!$C$34</f>
        <v/>
      </c>
      <c r="H13" s="4">
        <f>'Sensitivity'!H26*(1+H$4)/($C13-H$4)/'DCF'!$C$34</f>
        <v/>
      </c>
    </row>
    <row r="14">
      <c r="B14" t="inlineStr">
        <is>
          <t>Implied terminal multiple at WACC (the model's own)</t>
        </is>
      </c>
      <c r="C14" s="9">
        <f>'DCF'!$C$5</f>
        <v/>
      </c>
      <c r="D14" s="4">
        <f>'Sensitivity'!D26*(1+D$4)/($C14-D$4)/'DCF'!$C$34</f>
        <v/>
      </c>
      <c r="E14" s="4">
        <f>'Sensitivity'!E26*(1+E$4)/($C14-E$4)/'DCF'!$C$34</f>
        <v/>
      </c>
      <c r="F14" s="4">
        <f>'Sensitivity'!F26*(1+F$4)/($C14-F$4)/'DCF'!$C$34</f>
        <v/>
      </c>
      <c r="G14" s="4">
        <f>'Sensitivity'!G26*(1+G$4)/($C14-G$4)/'DCF'!$C$34</f>
        <v/>
      </c>
      <c r="H14" s="4">
        <f>'Sensitivity'!H26*(1+H$4)/($C14-H$4)/'DCF'!$C$34</f>
        <v/>
      </c>
    </row>
    <row r="15">
      <c r="B15" t="inlineStr">
        <is>
          <t>Implied terminal multiple at WACC plus 50bp</t>
        </is>
      </c>
      <c r="C15" s="9">
        <f>'DCF'!$C$5+0.005</f>
        <v/>
      </c>
      <c r="D15" s="4">
        <f>'Sensitivity'!D26*(1+D$4)/($C15-D$4)/'DCF'!$C$34</f>
        <v/>
      </c>
      <c r="E15" s="4">
        <f>'Sensitivity'!E26*(1+E$4)/($C15-E$4)/'DCF'!$C$34</f>
        <v/>
      </c>
      <c r="F15" s="4">
        <f>'Sensitivity'!F26*(1+F$4)/($C15-F$4)/'DCF'!$C$34</f>
        <v/>
      </c>
      <c r="G15" s="4">
        <f>'Sensitivity'!G26*(1+G$4)/($C15-G$4)/'DCF'!$C$34</f>
        <v/>
      </c>
      <c r="H15" s="4">
        <f>'Sensitivity'!H26*(1+H$4)/($C15-H$4)/'DCF'!$C$34</f>
        <v/>
      </c>
    </row>
    <row r="16">
      <c r="B16" t="inlineStr">
        <is>
          <t>Implied terminal multiple at WACC plus 100bp</t>
        </is>
      </c>
      <c r="C16" s="9">
        <f>'DCF'!$C$5+0.01</f>
        <v/>
      </c>
      <c r="D16" s="4">
        <f>'Sensitivity'!D26*(1+D$4)/($C16-D$4)/'DCF'!$C$34</f>
        <v/>
      </c>
      <c r="E16" s="4">
        <f>'Sensitivity'!E26*(1+E$4)/($C16-E$4)/'DCF'!$C$34</f>
        <v/>
      </c>
      <c r="F16" s="4">
        <f>'Sensitivity'!F26*(1+F$4)/($C16-F$4)/'DCF'!$C$34</f>
        <v/>
      </c>
      <c r="G16" s="4">
        <f>'Sensitivity'!G26*(1+G$4)/($C16-G$4)/'DCF'!$C$34</f>
        <v/>
      </c>
      <c r="H16" s="4">
        <f>'Sensitivity'!H26*(1+H$4)/($C16-H$4)/'DCF'!$C$34</f>
        <v/>
      </c>
    </row>
    <row r="17">
      <c r="B17" t="inlineStr">
        <is>
          <t>For comparison: peer median EV/EBITDA (a TRAILING multiple, from Comps)</t>
        </is>
      </c>
      <c r="C17" s="15">
        <f>'Comps'!$J$17</f>
        <v/>
      </c>
    </row>
    <row r="18">
      <c r="B18" t="inlineStr">
        <is>
          <t>For comparison: exit EV/EBITDA derived from the peer median EV/EBIT</t>
        </is>
      </c>
      <c r="C18" s="15">
        <f>'Comps'!$C$55</f>
        <v/>
      </c>
    </row>
    <row r="20">
      <c r="A20" s="1" t="inlineStr">
        <is>
          <t>Workings — the terminal year rebuilt at each growth rate above, one column per rate, aligned with the grids</t>
        </is>
      </c>
    </row>
    <row r="21">
      <c r="B21" t="inlineStr">
        <is>
          <t>Terminal PP&amp;E / revenue (post-programme anchor at this growth rate)</t>
        </is>
      </c>
      <c r="D21" s="9">
        <f>('BS'!J3/'IS'!J3)/(1+D$4)^(1/'Assumptions'!$C$37)</f>
        <v/>
      </c>
      <c r="E21" s="9">
        <f>('BS'!J3/'IS'!J3)/(1+E$4)^(1/'Assumptions'!$C$37)</f>
        <v/>
      </c>
      <c r="F21" s="9">
        <f>('BS'!J3/'IS'!J3)/(1+F$4)^(1/'Assumptions'!$C$37)</f>
        <v/>
      </c>
      <c r="G21" s="9">
        <f>('BS'!J3/'IS'!J3)/(1+G$4)^(1/'Assumptions'!$C$37)</f>
        <v/>
      </c>
      <c r="H21" s="9">
        <f>('BS'!J3/'IS'!J3)/(1+H$4)^(1/'Assumptions'!$C$37)</f>
        <v/>
      </c>
    </row>
    <row r="22">
      <c r="B22" t="inlineStr">
        <is>
          <t>Terminal total capex (% of revenue, sustaining at this growth rate)</t>
        </is>
      </c>
      <c r="D22" s="9">
        <f>'Sensitivity'!D21*(D$4+'Assumptions'!$C$37)/(1+D$4)/'Assumptions'!$C$59</f>
        <v/>
      </c>
      <c r="E22" s="9">
        <f>'Sensitivity'!E21*(E$4+'Assumptions'!$C$37)/(1+E$4)/'Assumptions'!$C$59</f>
        <v/>
      </c>
      <c r="F22" s="9">
        <f>'Sensitivity'!F21*(F$4+'Assumptions'!$C$37)/(1+F$4)/'Assumptions'!$C$59</f>
        <v/>
      </c>
      <c r="G22" s="9">
        <f>'Sensitivity'!G21*(G$4+'Assumptions'!$C$37)/(1+G$4)/'Assumptions'!$C$59</f>
        <v/>
      </c>
      <c r="H22" s="9">
        <f>'Sensitivity'!H21*(H$4+'Assumptions'!$C$37)/(1+H$4)/'Assumptions'!$C$59</f>
        <v/>
      </c>
    </row>
    <row r="23">
      <c r="B23" t="inlineStr">
        <is>
          <t>Terminal D&amp;A (% of revenue: PP&amp;E + ROU depreciation + amortisation)</t>
        </is>
      </c>
      <c r="D23" s="9">
        <f>'Assumptions'!$C$37*'Sensitivity'!D21/(1+D$4)+'Assumptions'!$C$38*'DCF'!$C$23/(1+D$4)+'Sensitivity'!D22*'Assumptions'!$C$58*'Assumptions'!$C$60/(D$4+'Assumptions'!$C$60)</f>
        <v/>
      </c>
      <c r="E23" s="9">
        <f>'Assumptions'!$C$37*'Sensitivity'!E21/(1+E$4)+'Assumptions'!$C$38*'DCF'!$C$23/(1+E$4)+'Sensitivity'!E22*'Assumptions'!$C$58*'Assumptions'!$C$60/(E$4+'Assumptions'!$C$60)</f>
        <v/>
      </c>
      <c r="F23" s="9">
        <f>'Assumptions'!$C$37*'Sensitivity'!F21/(1+F$4)+'Assumptions'!$C$38*'DCF'!$C$23/(1+F$4)+'Sensitivity'!F22*'Assumptions'!$C$58*'Assumptions'!$C$60/(F$4+'Assumptions'!$C$60)</f>
        <v/>
      </c>
      <c r="G23" s="9">
        <f>'Assumptions'!$C$37*'Sensitivity'!G21/(1+G$4)+'Assumptions'!$C$38*'DCF'!$C$23/(1+G$4)+'Sensitivity'!G22*'Assumptions'!$C$58*'Assumptions'!$C$60/(G$4+'Assumptions'!$C$60)</f>
        <v/>
      </c>
      <c r="H23" s="9">
        <f>'Assumptions'!$C$37*'Sensitivity'!H21/(1+H$4)+'Assumptions'!$C$38*'DCF'!$C$23/(1+H$4)+'Sensitivity'!H22*'Assumptions'!$C$58*'Assumptions'!$C$60/(H$4+'Assumptions'!$C$60)</f>
        <v/>
      </c>
    </row>
    <row r="24">
      <c r="B24" t="inlineStr">
        <is>
          <t>Terminal depreciation and amortisation</t>
        </is>
      </c>
      <c r="D24" s="3">
        <f>'Sensitivity'!D23*'DCF'!$C$32</f>
        <v/>
      </c>
      <c r="E24" s="3">
        <f>'Sensitivity'!E23*'DCF'!$C$32</f>
        <v/>
      </c>
      <c r="F24" s="3">
        <f>'Sensitivity'!F23*'DCF'!$C$32</f>
        <v/>
      </c>
      <c r="G24" s="3">
        <f>'Sensitivity'!G23*'DCF'!$C$32</f>
        <v/>
      </c>
      <c r="H24" s="3">
        <f>'Sensitivity'!H23*'DCF'!$C$32</f>
        <v/>
      </c>
    </row>
    <row r="25">
      <c r="B25" t="inlineStr">
        <is>
          <t>Terminal EBIT (terminal EBITDA less the D&amp;A above)</t>
        </is>
      </c>
      <c r="D25" s="3">
        <f>'DCF'!$C$34-'Sensitivity'!D24</f>
        <v/>
      </c>
      <c r="E25" s="3">
        <f>'DCF'!$C$34-'Sensitivity'!E24</f>
        <v/>
      </c>
      <c r="F25" s="3">
        <f>'DCF'!$C$34-'Sensitivity'!F24</f>
        <v/>
      </c>
      <c r="G25" s="3">
        <f>'DCF'!$C$34-'Sensitivity'!G24</f>
        <v/>
      </c>
      <c r="H25" s="3">
        <f>'DCF'!$C$34-'Sensitivity'!H24</f>
        <v/>
      </c>
    </row>
    <row r="26">
      <c r="B26" t="inlineStr">
        <is>
          <t>Terminal unlevered free cash flow</t>
        </is>
      </c>
      <c r="D26" s="3">
        <f>'Sensitivity'!D25*(1-'Assumptions'!$C$39)+'Sensitivity'!D24-'Sensitivity'!D22*'DCF'!$C$32-'DCF'!$C$23*(D$4+'Assumptions'!$C$38)/(1+D$4)*'DCF'!$C$32-'DCF'!$C$31*D$4/(1+D$4)*'DCF'!$C$32</f>
        <v/>
      </c>
      <c r="E26" s="3">
        <f>'Sensitivity'!E25*(1-'Assumptions'!$C$39)+'Sensitivity'!E24-'Sensitivity'!E22*'DCF'!$C$32-'DCF'!$C$23*(E$4+'Assumptions'!$C$38)/(1+E$4)*'DCF'!$C$32-'DCF'!$C$31*E$4/(1+E$4)*'DCF'!$C$32</f>
        <v/>
      </c>
      <c r="F26" s="3">
        <f>'Sensitivity'!F25*(1-'Assumptions'!$C$39)+'Sensitivity'!F24-'Sensitivity'!F22*'DCF'!$C$32-'DCF'!$C$23*(F$4+'Assumptions'!$C$38)/(1+F$4)*'DCF'!$C$32-'DCF'!$C$31*F$4/(1+F$4)*'DCF'!$C$32</f>
        <v/>
      </c>
      <c r="G26" s="3">
        <f>'Sensitivity'!G25*(1-'Assumptions'!$C$39)+'Sensitivity'!G24-'Sensitivity'!G22*'DCF'!$C$32-'DCF'!$C$23*(G$4+'Assumptions'!$C$38)/(1+G$4)*'DCF'!$C$32-'DCF'!$C$31*G$4/(1+G$4)*'DCF'!$C$32</f>
        <v/>
      </c>
      <c r="H26" s="3">
        <f>'Sensitivity'!H25*(1-'Assumptions'!$C$39)+'Sensitivity'!H24-'Sensitivity'!H22*'DCF'!$C$32-'DCF'!$C$23*(H$4+'Assumptions'!$C$38)/(1+H$4)*'DCF'!$C$32-'DCF'!$C$31*H$4/(1+H$4)*'DCF'!$C$32</f>
        <v/>
      </c>
    </row>
    <row r="27">
      <c r="B27" t="inlineStr">
        <is>
          <t>Excess PP&amp;E over this growth rate's re-based base, at FY2029</t>
        </is>
      </c>
      <c r="D27" s="3">
        <f>'BS'!I3-'Sensitivity'!D21*'IS'!I3</f>
        <v/>
      </c>
      <c r="E27" s="3">
        <f>'BS'!I3-'Sensitivity'!E21*'IS'!I3</f>
        <v/>
      </c>
      <c r="F27" s="3">
        <f>'BS'!I3-'Sensitivity'!F21*'IS'!I3</f>
        <v/>
      </c>
      <c r="G27" s="3">
        <f>'BS'!I3-'Sensitivity'!G21*'IS'!I3</f>
        <v/>
      </c>
      <c r="H27" s="3">
        <f>'BS'!I3-'Sensitivity'!H21*'IS'!I3</f>
        <v/>
      </c>
    </row>
    <row r="28">
      <c r="B28" t="inlineStr">
        <is>
          <t>Check: centre column's terminal FCF less the DCF's own (must be nil)</t>
        </is>
      </c>
      <c r="C28" s="3">
        <f>'Sensitivity'!F26-'DCF'!$C$40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Trading comparables — five UK-listed peers, post-IFRS 16, £m</t>
        </is>
      </c>
    </row>
    <row r="2">
      <c r="C2" s="5" t="inlineStr">
        <is>
          <t>SSP Group</t>
        </is>
      </c>
      <c r="D2" s="5" t="inlineStr">
        <is>
          <t>Domino's Pizza Group</t>
        </is>
      </c>
      <c r="E2" s="5" t="inlineStr">
        <is>
          <t>J D Wetherspoon</t>
        </is>
      </c>
      <c r="F2" s="5" t="inlineStr">
        <is>
          <t>Mitchells &amp; Butlers</t>
        </is>
      </c>
      <c r="G2" s="5" t="inlineStr">
        <is>
          <t>Whitbread</t>
        </is>
      </c>
      <c r="I2" s="5" t="inlineStr">
        <is>
          <t>Peer min</t>
        </is>
      </c>
      <c r="J2" s="5" t="inlineStr">
        <is>
          <t>Peer median</t>
        </is>
      </c>
      <c r="K2" s="5" t="inlineStr">
        <is>
          <t>Peer max</t>
        </is>
      </c>
    </row>
    <row r="3">
      <c r="B3" t="inlineStr">
        <is>
          <t>Share price (pence)</t>
        </is>
      </c>
      <c r="C3" s="18" t="n">
        <v>212.4</v>
      </c>
      <c r="D3" s="18" t="n">
        <v>218</v>
      </c>
      <c r="E3" s="18" t="n">
        <v>814</v>
      </c>
      <c r="F3" s="18" t="n">
        <v>284.5</v>
      </c>
      <c r="G3" s="18" t="n">
        <v>2493</v>
      </c>
    </row>
    <row r="4">
      <c r="B4" t="inlineStr">
        <is>
          <t>Shares outstanding (m)</t>
        </is>
      </c>
      <c r="C4" s="10" t="n">
        <v>762.24</v>
      </c>
      <c r="D4" s="10" t="n">
        <v>381.16</v>
      </c>
      <c r="E4" s="10" t="n">
        <v>102.79</v>
      </c>
      <c r="F4" s="10" t="n">
        <v>593.9299999999999</v>
      </c>
      <c r="G4" s="10" t="n">
        <v>167.14</v>
      </c>
    </row>
    <row r="5">
      <c r="B5" t="inlineStr">
        <is>
          <t>Market capitalisation (£m)</t>
        </is>
      </c>
      <c r="C5" s="11" t="n">
        <v>1618.998</v>
      </c>
      <c r="D5" s="11" t="n">
        <v>830.929</v>
      </c>
      <c r="E5" s="11" t="n">
        <v>836.711</v>
      </c>
      <c r="F5" s="11" t="n">
        <v>1689.731</v>
      </c>
      <c r="G5" s="11" t="n">
        <v>4166.8</v>
      </c>
    </row>
    <row r="6">
      <c r="B6" t="inlineStr">
        <is>
          <t>Net debt including lease liabilities (£m)</t>
        </is>
      </c>
      <c r="C6" s="11" t="n">
        <v>1816.9</v>
      </c>
      <c r="D6" s="11" t="n">
        <v>524.7</v>
      </c>
      <c r="E6" s="11" t="n">
        <v>1129.1</v>
      </c>
      <c r="F6" s="11" t="n">
        <v>1277</v>
      </c>
      <c r="G6" s="11" t="n">
        <v>5232</v>
      </c>
    </row>
    <row r="7">
      <c r="B7" t="inlineStr">
        <is>
          <t xml:space="preserve">  of which lease liabilities (£m)</t>
        </is>
      </c>
      <c r="C7" s="11" t="n">
        <v>1242.7</v>
      </c>
      <c r="D7" s="11" t="n">
        <v>240.1</v>
      </c>
      <c r="E7" s="11" t="n">
        <v>407.2</v>
      </c>
      <c r="F7" s="11" t="n">
        <v>434</v>
      </c>
      <c r="G7" s="11" t="n">
        <v>4523.1</v>
      </c>
    </row>
    <row r="8">
      <c r="B8" t="inlineStr">
        <is>
          <t>Minority interests (£m, book value)</t>
        </is>
      </c>
      <c r="C8" s="11" t="n">
        <v>186.8</v>
      </c>
      <c r="D8" s="11" t="n">
        <v>-0.6</v>
      </c>
      <c r="E8" s="11" t="n">
        <v>0</v>
      </c>
      <c r="F8" s="11" t="n">
        <v>0</v>
      </c>
      <c r="G8" s="11" t="n">
        <v>0</v>
      </c>
    </row>
    <row r="9">
      <c r="B9" t="inlineStr">
        <is>
          <t>Enterprise value (£m)</t>
        </is>
      </c>
      <c r="C9" s="11" t="n">
        <v>3622.698</v>
      </c>
      <c r="D9" s="11" t="n">
        <v>1355.029</v>
      </c>
      <c r="E9" s="11" t="n">
        <v>1965.811</v>
      </c>
      <c r="F9" s="11" t="n">
        <v>2966.731</v>
      </c>
      <c r="G9" s="11" t="n">
        <v>9398.799999999999</v>
      </c>
    </row>
    <row r="10">
      <c r="B10" t="inlineStr">
        <is>
          <t>EBITDA (£m, post-IFRS 16, underlying)</t>
        </is>
      </c>
      <c r="C10" s="11" t="n">
        <v>687.2</v>
      </c>
      <c r="D10" s="11" t="n">
        <v>133.9</v>
      </c>
      <c r="E10" s="11" t="n">
        <v>260.8</v>
      </c>
      <c r="F10" s="11" t="n">
        <v>465</v>
      </c>
      <c r="G10" s="11" t="n">
        <v>1076</v>
      </c>
    </row>
    <row r="11">
      <c r="B11" t="inlineStr">
        <is>
          <t>EBIT (£m, post-IFRS 16, underlying)</t>
        </is>
      </c>
      <c r="C11" s="11" t="n">
        <v>269.1</v>
      </c>
      <c r="D11" s="11" t="n">
        <v>111.2</v>
      </c>
      <c r="E11" s="11" t="n">
        <v>146.4</v>
      </c>
      <c r="F11" s="11" t="n">
        <v>330</v>
      </c>
      <c r="G11" s="11" t="n">
        <v>649</v>
      </c>
    </row>
    <row r="12">
      <c r="B12" t="inlineStr">
        <is>
          <t>Net income (£m, statutory, attributable)</t>
        </is>
      </c>
      <c r="C12" s="11" t="n">
        <v>-74.40000000000001</v>
      </c>
      <c r="D12" s="11" t="n">
        <v>58.6</v>
      </c>
      <c r="E12" s="11" t="n">
        <v>68</v>
      </c>
      <c r="F12" s="11" t="n">
        <v>177</v>
      </c>
      <c r="G12" s="11" t="n">
        <v>212.9</v>
      </c>
    </row>
    <row r="13">
      <c r="B13" t="inlineStr">
        <is>
          <t>Check: price x shares less market capitalisation (£m, |x| &lt; 0.01)</t>
        </is>
      </c>
      <c r="C13" s="3">
        <f>'Comps'!C3/100*'Comps'!C4-'Comps'!C5</f>
        <v/>
      </c>
      <c r="D13" s="3">
        <f>'Comps'!D3/100*'Comps'!D4-'Comps'!D5</f>
        <v/>
      </c>
      <c r="E13" s="3">
        <f>'Comps'!E3/100*'Comps'!E4-'Comps'!E5</f>
        <v/>
      </c>
      <c r="F13" s="3">
        <f>'Comps'!F3/100*'Comps'!F4-'Comps'!F5</f>
        <v/>
      </c>
      <c r="G13" s="3">
        <f>'Comps'!G3/100*'Comps'!G4-'Comps'!G5</f>
        <v/>
      </c>
    </row>
    <row r="14">
      <c r="B14" t="inlineStr">
        <is>
          <t>Check: market cap + net debt + minorities less EV (£m, |x| &lt; 0.01)</t>
        </is>
      </c>
      <c r="C14" s="3">
        <f>'Comps'!C5+'Comps'!C6+'Comps'!C8-'Comps'!C9</f>
        <v/>
      </c>
      <c r="D14" s="3">
        <f>'Comps'!D5+'Comps'!D6+'Comps'!D8-'Comps'!D9</f>
        <v/>
      </c>
      <c r="E14" s="3">
        <f>'Comps'!E5+'Comps'!E6+'Comps'!E8-'Comps'!E9</f>
        <v/>
      </c>
      <c r="F14" s="3">
        <f>'Comps'!F5+'Comps'!F6+'Comps'!F8-'Comps'!F9</f>
        <v/>
      </c>
      <c r="G14" s="3">
        <f>'Comps'!G5+'Comps'!G6+'Comps'!G8-'Comps'!G9</f>
        <v/>
      </c>
    </row>
    <row r="15">
      <c r="B15" t="inlineStr">
        <is>
          <t>Implied D&amp;A (£m, EBITDA less EBIT)</t>
        </is>
      </c>
      <c r="C15" s="3">
        <f>'Comps'!C10-'Comps'!C11</f>
        <v/>
      </c>
      <c r="D15" s="3">
        <f>'Comps'!D10-'Comps'!D11</f>
        <v/>
      </c>
      <c r="E15" s="3">
        <f>'Comps'!E10-'Comps'!E11</f>
        <v/>
      </c>
      <c r="F15" s="3">
        <f>'Comps'!F10-'Comps'!F11</f>
        <v/>
      </c>
      <c r="G15" s="3">
        <f>'Comps'!G10-'Comps'!G11</f>
        <v/>
      </c>
    </row>
    <row r="16">
      <c r="B16" t="inlineStr">
        <is>
          <t>D&amp;A / EBITDA (capital intensity)</t>
        </is>
      </c>
      <c r="C16" s="9">
        <f>('Comps'!C10-'Comps'!C11)/'Comps'!C10</f>
        <v/>
      </c>
      <c r="D16" s="9">
        <f>('Comps'!D10-'Comps'!D11)/'Comps'!D10</f>
        <v/>
      </c>
      <c r="E16" s="9">
        <f>('Comps'!E10-'Comps'!E11)/'Comps'!E10</f>
        <v/>
      </c>
      <c r="F16" s="9">
        <f>('Comps'!F10-'Comps'!F11)/'Comps'!F10</f>
        <v/>
      </c>
      <c r="G16" s="9">
        <f>('Comps'!G10-'Comps'!G11)/'Comps'!G10</f>
        <v/>
      </c>
      <c r="I16" s="9">
        <f>MIN(C16:G16)</f>
        <v/>
      </c>
      <c r="J16" s="9">
        <f>MEDIAN(C16:G16)</f>
        <v/>
      </c>
      <c r="K16" s="9">
        <f>MAX(C16:G16)</f>
        <v/>
      </c>
    </row>
    <row r="17">
      <c r="B17" t="inlineStr">
        <is>
          <t>EV / EBITDA</t>
        </is>
      </c>
      <c r="C17" s="4">
        <f>'Comps'!C9/'Comps'!C10</f>
        <v/>
      </c>
      <c r="D17" s="4">
        <f>'Comps'!D9/'Comps'!D10</f>
        <v/>
      </c>
      <c r="E17" s="4">
        <f>'Comps'!E9/'Comps'!E10</f>
        <v/>
      </c>
      <c r="F17" s="4">
        <f>'Comps'!F9/'Comps'!F10</f>
        <v/>
      </c>
      <c r="G17" s="4">
        <f>'Comps'!G9/'Comps'!G10</f>
        <v/>
      </c>
      <c r="I17" s="4">
        <f>MIN(C17:G17)</f>
        <v/>
      </c>
      <c r="J17" s="4">
        <f>MEDIAN(C17:G17)</f>
        <v/>
      </c>
      <c r="K17" s="4">
        <f>MAX(C17:G17)</f>
        <v/>
      </c>
    </row>
    <row r="18">
      <c r="B18" t="inlineStr">
        <is>
          <t>EV / EBIT</t>
        </is>
      </c>
      <c r="C18" s="4">
        <f>'Comps'!C9/'Comps'!C11</f>
        <v/>
      </c>
      <c r="D18" s="4">
        <f>'Comps'!D9/'Comps'!D11</f>
        <v/>
      </c>
      <c r="E18" s="4">
        <f>'Comps'!E9/'Comps'!E11</f>
        <v/>
      </c>
      <c r="F18" s="4">
        <f>'Comps'!F9/'Comps'!F11</f>
        <v/>
      </c>
      <c r="G18" s="4">
        <f>'Comps'!G9/'Comps'!G11</f>
        <v/>
      </c>
      <c r="I18" s="4">
        <f>MIN(C18:G18)</f>
        <v/>
      </c>
      <c r="J18" s="4">
        <f>MEDIAN(C18:G18)</f>
        <v/>
      </c>
      <c r="K18" s="4">
        <f>MAX(C18:G18)</f>
        <v/>
      </c>
    </row>
    <row r="19">
      <c r="B19" t="inlineStr">
        <is>
          <t>P/E (SSP is a statutory loss and is excluded from the statistics)</t>
        </is>
      </c>
      <c r="C19" s="4">
        <f>'Comps'!C5/'Comps'!C12</f>
        <v/>
      </c>
      <c r="D19" s="4">
        <f>'Comps'!D5/'Comps'!D12</f>
        <v/>
      </c>
      <c r="E19" s="4">
        <f>'Comps'!E5/'Comps'!E12</f>
        <v/>
      </c>
      <c r="F19" s="4">
        <f>'Comps'!F5/'Comps'!F12</f>
        <v/>
      </c>
      <c r="G19" s="4">
        <f>'Comps'!G5/'Comps'!G12</f>
        <v/>
      </c>
      <c r="I19" s="4">
        <f>MIN(D19:G19)</f>
        <v/>
      </c>
      <c r="J19" s="4">
        <f>MEDIAN(D19:G19)</f>
        <v/>
      </c>
      <c r="K19" s="4">
        <f>MAX(D19:G19)</f>
        <v/>
      </c>
    </row>
    <row r="20">
      <c r="B20" t="inlineStr">
        <is>
          <t>Source (results announcement, then the price snapshot)</t>
        </is>
      </c>
      <c r="C20" s="6" t="inlineStr">
        <is>
          <t>SSP Group plc, '2025 Full Year Results Announcement' RNS, 4 December 2025, year ended 30 September 2025; price stockanalysis.com LON:SSPG 5 August 2026 11:45 GMT</t>
        </is>
      </c>
      <c r="D20" s="6" t="inlineStr">
        <is>
          <t>Domino's Pizza Group plc, 'Full year results for the 52 weeks ended 28.12.25' RNS, 10 March 2026; price stockanalysis.com LON:DOM 5 August 2026 11:59 GMT</t>
        </is>
      </c>
      <c r="E20" s="6" t="inlineStr">
        <is>
          <t>J D Wetherspoon plc, 'Preliminary Results' RNS, 3 October 2025, 52 weeks ended 27 July 2025; price stockanalysis.com LON:JDW 5 August 2026 11:54 GMT</t>
        </is>
      </c>
      <c r="F20" s="6" t="inlineStr">
        <is>
          <t>Mitchells &amp; Butlers plc, 'Full Year Results' RNS, 28 November 2025, 52 weeks ended 27 September 2025; price stockanalysis.com LON:MAB 5 August 2026 11:52 GMT</t>
        </is>
      </c>
      <c r="G20" s="6" t="inlineStr">
        <is>
          <t>Whitbread PLC, 'Preliminary Results Announcement' RNS, 30 April 2026, 52 weeks ended 26 February 2026; price stockanalysis.com LON:WTB 5 August 2026 11:58 GMT</t>
        </is>
      </c>
      <c r="L20" t="inlineStr">
        <is>
          <t>Peer figures were read through a summarising fetcher, NOT line by line from the source documents, and carry no page references — see comps.py. Every EBIT above is a printed operating-profit line; three of the five EBITDAs are constructed.</t>
        </is>
      </c>
    </row>
    <row r="21">
      <c r="B21" t="inlineStr">
        <is>
          <t>All six share prices were observed at</t>
        </is>
      </c>
      <c r="C21" s="6" t="inlineStr">
        <is>
          <t>5 August 2026, 11:45-11:59 GMT</t>
        </is>
      </c>
    </row>
    <row r="23">
      <c r="A23" s="1" t="inlineStr">
        <is>
          <t>Greggs plc at the observed market price, on the same basis</t>
        </is>
      </c>
    </row>
    <row r="24">
      <c r="B24" t="inlineStr">
        <is>
          <t>Greggs share price (pence)</t>
        </is>
      </c>
      <c r="C24" s="18" t="n">
        <v>1964</v>
      </c>
    </row>
    <row r="25">
      <c r="B25" t="inlineStr">
        <is>
          <t>Greggs shares outstanding (m, price provider; the filing's diluted count is on Historicals)</t>
        </is>
      </c>
      <c r="C25" s="10" t="n">
        <v>101.96</v>
      </c>
    </row>
    <row r="26">
      <c r="B26" t="inlineStr">
        <is>
          <t>Greggs market capitalisation (£m)</t>
        </is>
      </c>
      <c r="C26" s="3">
        <f>'Comps'!$C$24/100*'Comps'!$C$25</f>
        <v/>
      </c>
    </row>
    <row r="27">
      <c r="B27" t="inlineStr">
        <is>
          <t>Greggs net debt including lease liabilities (£m, FY2025 actual)</t>
        </is>
      </c>
      <c r="C27" s="3">
        <f>'Historicals'!E31-'Historicals'!E25+'Historicals'!E30</f>
        <v/>
      </c>
    </row>
    <row r="28">
      <c r="B28" t="inlineStr">
        <is>
          <t>Greggs enterprise value (£m)</t>
        </is>
      </c>
      <c r="C28" s="3">
        <f>'Comps'!$C$26+'Comps'!$C$27</f>
        <v/>
      </c>
    </row>
    <row r="29">
      <c r="B29" t="inlineStr">
        <is>
          <t>Greggs EBITDA (£m, FY2025, the basis the model forecasts)</t>
        </is>
      </c>
      <c r="C29" s="13">
        <f>'Historicals'!E13</f>
        <v/>
      </c>
    </row>
    <row r="30">
      <c r="B30" t="inlineStr">
        <is>
          <t>Greggs EBIT (£m, FY2025, struck AFTER impairment — see below)</t>
        </is>
      </c>
      <c r="C30" s="13">
        <f>'Historicals'!E15</f>
        <v/>
      </c>
    </row>
    <row r="31">
      <c r="B31" t="inlineStr">
        <is>
          <t>Greggs net income (£m, FY2025)</t>
        </is>
      </c>
      <c r="C31" s="13">
        <f>'Historicals'!E17</f>
        <v/>
      </c>
    </row>
    <row r="32">
      <c r="B32" t="inlineStr">
        <is>
          <t>Greggs EV / EBITDA</t>
        </is>
      </c>
      <c r="C32" s="4">
        <f>'Comps'!$C$28/'Comps'!$C$29</f>
        <v/>
      </c>
    </row>
    <row r="33">
      <c r="B33" t="inlineStr">
        <is>
          <t>Greggs EV / EBIT</t>
        </is>
      </c>
      <c r="C33" s="4">
        <f>'Comps'!$C$28/'Comps'!$C$30</f>
        <v/>
      </c>
    </row>
    <row r="34">
      <c r="B34" t="inlineStr">
        <is>
          <t>Greggs P/E</t>
        </is>
      </c>
      <c r="C34" s="4">
        <f>'Comps'!$C$26/'Comps'!$C$31</f>
        <v/>
      </c>
    </row>
    <row r="35">
      <c r="B35" t="inlineStr">
        <is>
          <t>Discount to the peer median on EV/EBITDA (negative = cheaper)</t>
        </is>
      </c>
      <c r="C35" s="9">
        <f>'Comps'!$C$32/'Comps'!$J$17-1</f>
        <v/>
      </c>
    </row>
    <row r="36">
      <c r="B36" t="inlineStr">
        <is>
          <t>Discount to the peer median on EV/EBIT (NOT like for like — see impairment below)</t>
        </is>
      </c>
      <c r="C36" s="9">
        <f>'Comps'!$C$33/'Comps'!$J$18-1</f>
        <v/>
      </c>
    </row>
    <row r="38">
      <c r="A38" s="1" t="inlineStr">
        <is>
          <t>Impairment asymmetry on EBIT — a known bias, and it flatters the model</t>
        </is>
      </c>
    </row>
    <row r="39">
      <c r="B39" t="inlineStr">
        <is>
          <t>FY2025 net impairment of PP&amp;E, inside depreciation (FY2025 AR p.148)</t>
        </is>
      </c>
      <c r="C39" s="11" t="n">
        <v>3.9</v>
      </c>
    </row>
    <row r="40">
      <c r="B40" t="inlineStr">
        <is>
          <t>FY2025 net impairment of ROU assets, inside depreciation (FY2025 AR p.148)</t>
        </is>
      </c>
      <c r="C40" s="11" t="n">
        <v>3</v>
      </c>
    </row>
    <row r="41">
      <c r="B41" t="inlineStr">
        <is>
          <t>FY2025 net impairment inside D&amp;A (£m)</t>
        </is>
      </c>
      <c r="C41" s="3">
        <f>'Comps'!$C$39+'Comps'!$C$40</f>
        <v/>
      </c>
    </row>
    <row r="42">
      <c r="B42" t="inlineStr">
        <is>
          <t>Greggs EBIT on the peers' basis, before impairment (£m)</t>
        </is>
      </c>
      <c r="C42" s="3">
        <f>'Comps'!$C$30+'Comps'!$C$41</f>
        <v/>
      </c>
    </row>
    <row r="43">
      <c r="B43" t="inlineStr">
        <is>
          <t>Peers'-basis EV / EBIT (Greggs, before impairment)</t>
        </is>
      </c>
      <c r="C43" s="4">
        <f>'Comps'!$C$28/'Comps'!$C$42</f>
        <v/>
      </c>
    </row>
    <row r="44">
      <c r="B44" t="inlineStr">
        <is>
          <t>Discount to the peer median on the peers'-basis EV/EBIT (the like-for-like read)</t>
        </is>
      </c>
      <c r="C44" s="9">
        <f>'Comps'!$C$43/'Comps'!$J$18-1</f>
        <v/>
      </c>
    </row>
    <row r="46">
      <c r="A46" s="1" t="inlineStr">
        <is>
          <t>Comps-implied value, and the traded range it is read against</t>
        </is>
      </c>
    </row>
    <row r="47">
      <c r="B47" t="inlineStr">
        <is>
          <t>Comps-implied share price at the peer minimum EV/EBITDA (p)</t>
        </is>
      </c>
      <c r="C47" s="17">
        <f>('Comps'!$C$29*'Comps'!$I$17-('Historicals'!E31-'Historicals'!E25)-'Historicals'!E30)/'Historicals'!E44*100</f>
        <v/>
      </c>
    </row>
    <row r="48">
      <c r="B48" t="inlineStr">
        <is>
          <t>Comps-implied share price at the peer median EV/EBITDA (p)</t>
        </is>
      </c>
      <c r="C48" s="17">
        <f>('Comps'!$C$29*'Comps'!$J$17-('Historicals'!E31-'Historicals'!E25)-'Historicals'!E30)/'Historicals'!E44*100</f>
        <v/>
      </c>
    </row>
    <row r="49">
      <c r="B49" t="inlineStr">
        <is>
          <t>Comps-implied share price at the peer maximum EV/EBITDA (p)</t>
        </is>
      </c>
      <c r="C49" s="17">
        <f>('Comps'!$C$29*'Comps'!$K$17-('Historicals'!E31-'Historicals'!E25)-'Historicals'!E30)/'Historicals'!E44*100</f>
        <v/>
      </c>
    </row>
    <row r="50">
      <c r="B50" t="inlineStr">
        <is>
          <t>52-week low (pence, market observation, no formula source)</t>
        </is>
      </c>
      <c r="C50" s="18" t="n">
        <v>1407.2</v>
      </c>
    </row>
    <row r="51">
      <c r="B51" t="inlineStr">
        <is>
          <t>52-week high (pence, market observation, no formula source)</t>
        </is>
      </c>
      <c r="C51" s="18" t="n">
        <v>2046</v>
      </c>
    </row>
    <row r="53">
      <c r="A53" s="1" t="inlineStr">
        <is>
          <t>The exit multiple this peer set implies (it SETS the driver)</t>
        </is>
      </c>
    </row>
    <row r="54">
      <c r="B54" t="inlineStr">
        <is>
          <t>Terminal D&amp;A / EBITDA, from the DCF's re-based terminal year</t>
        </is>
      </c>
      <c r="C54" s="14">
        <f>'DCF'!$C$41</f>
        <v/>
      </c>
    </row>
    <row r="55">
      <c r="B55" t="inlineStr">
        <is>
          <t>Derived exit EV/EBITDA (= peer median EV/EBIT x (1 - terminal D&amp;A/EBITDA))</t>
        </is>
      </c>
      <c r="C55" s="4">
        <f>'Comps'!$J$18*(1-'Comps'!$C$54)</f>
        <v/>
      </c>
    </row>
    <row r="56">
      <c r="B56" t="inlineStr">
        <is>
          <t>Exit EV/EBITDA as shipped on Assumptions (the derived figure, 2dp)</t>
        </is>
      </c>
      <c r="C56" s="15">
        <f>'Assumptions'!$C$31</f>
        <v/>
      </c>
    </row>
    <row r="57">
      <c r="B57" t="inlineStr">
        <is>
          <t>Rounding carried by the shipped driver (derived less shipped)</t>
        </is>
      </c>
      <c r="C57" s="12">
        <f>'Comps'!$C$55-'Comps'!$C$56</f>
        <v/>
      </c>
    </row>
    <row r="58">
      <c r="B58" t="inlineStr">
        <is>
          <t>The median of five observations IS one observation — here J D Wetherspoon, a majority-freehold pub company. Dropping any of the three highest names moves the EV/EBIT median about -4.6%, which is the honest error bar on everything derived from it.</t>
        </is>
      </c>
    </row>
    <row r="59">
      <c r="B59" t="inlineStr">
        <is>
          <t>Not one of the five is a close structural match to leased-estate food-to-go retail. SSP is the closest and the cheapest; Domino's is an asset-light franchisor and its 10.1x EV/EBITDA is an upper bound on franchise economics, not a comparable capital structure.</t>
        </is>
      </c>
    </row>
    <row r="60">
      <c r="B60" t="inlineStr">
        <is>
          <t>PROVENANCE IS NOT SYMMETRIC: Greggs' figures were read line by line from the filings with page numbers; the peer figures were not, and have no page references. Internal ties bound transcription error only — they say nothing about whether the right line was selected.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Leveraged buyout — sponsor returns on the model's own operating case, £m</t>
        </is>
      </c>
    </row>
    <row r="2">
      <c r="F2" s="5">
        <f>'Assumptions'!F$2</f>
        <v/>
      </c>
      <c r="G2" s="5">
        <f>'Assumptions'!G$2</f>
        <v/>
      </c>
      <c r="H2" s="5">
        <f>'Assumptions'!H$2</f>
        <v/>
      </c>
      <c r="I2" s="5">
        <f>'Assumptions'!I$2</f>
        <v/>
      </c>
      <c r="J2" s="5">
        <f>'Assumptions'!J$2</f>
        <v/>
      </c>
    </row>
    <row r="3">
      <c r="B3" t="inlineStr">
        <is>
          <t>Entry enterprise value (Greggs' traded EV from Comps)</t>
        </is>
      </c>
      <c r="C3" s="13">
        <f>'Comps'!$C$28</f>
        <v/>
      </c>
    </row>
    <row r="4">
      <c r="B4" t="inlineStr">
        <is>
          <t>Entry EBITDA (FY2025, the basis the model forecasts)</t>
        </is>
      </c>
      <c r="C4" s="13">
        <f>'Historicals'!E13</f>
        <v/>
      </c>
    </row>
    <row r="5">
      <c r="B5" t="inlineStr">
        <is>
          <t>Entry EV/EBITDA</t>
        </is>
      </c>
      <c r="C5" s="4">
        <f>'LBO'!$C$3/'LBO'!$C$4</f>
        <v/>
      </c>
    </row>
    <row r="6">
      <c r="B6" t="inlineStr">
        <is>
          <t>Entry leverage (x EBITDA, total net debt INCLUDING leases)</t>
        </is>
      </c>
      <c r="C6" s="15">
        <f>'Assumptions'!$C$64</f>
        <v/>
      </c>
    </row>
    <row r="7">
      <c r="B7" t="inlineStr">
        <is>
          <t>Entry total net debt including leases</t>
        </is>
      </c>
      <c r="C7" s="3">
        <f>'LBO'!$C$6*'LBO'!$C$4</f>
        <v/>
      </c>
    </row>
    <row r="8">
      <c r="B8" t="inlineStr">
        <is>
          <t xml:space="preserve">  of which the existing lease liability (already spoken for)</t>
        </is>
      </c>
      <c r="C8" s="13">
        <f>'Historicals'!E30</f>
        <v/>
      </c>
    </row>
    <row r="9">
      <c r="B9" t="inlineStr">
        <is>
          <t xml:space="preserve">  new financial debt raised (the leverage less the leases)</t>
        </is>
      </c>
      <c r="C9" s="3">
        <f>'LBO'!$C$7-'LBO'!$C$8</f>
        <v/>
      </c>
    </row>
    <row r="10">
      <c r="B10" t="inlineStr">
        <is>
          <t>Sponsor equity cheque (entry EV less total entry debt)</t>
        </is>
      </c>
      <c r="C10" s="3">
        <f>'LBO'!$C$3-'LBO'!$C$7</f>
        <v/>
      </c>
    </row>
    <row r="12">
      <c r="A12" s="1" t="inlineStr">
        <is>
          <t>The hold — cash sweep against the new financial debt</t>
        </is>
      </c>
    </row>
    <row r="13">
      <c r="B13" t="inlineStr">
        <is>
          <t>Unlevered free cash flow (the DCF's own, unchanged)</t>
        </is>
      </c>
      <c r="F13" s="13">
        <f>'DCF'!F14</f>
        <v/>
      </c>
      <c r="G13" s="13">
        <f>'DCF'!G14</f>
        <v/>
      </c>
      <c r="H13" s="13">
        <f>'DCF'!H14</f>
        <v/>
      </c>
      <c r="I13" s="13">
        <f>'DCF'!I14</f>
        <v/>
      </c>
      <c r="J13" s="13">
        <f>'DCF'!J14</f>
        <v/>
      </c>
    </row>
    <row r="14">
      <c r="B14" t="inlineStr">
        <is>
          <t>New ROU additions added back (a new lease funds its own asset)</t>
        </is>
      </c>
      <c r="F14" s="13">
        <f>'Schedules'!F25</f>
        <v/>
      </c>
      <c r="G14" s="13">
        <f>'Schedules'!G25</f>
        <v/>
      </c>
      <c r="H14" s="13">
        <f>'Schedules'!H25</f>
        <v/>
      </c>
      <c r="I14" s="13">
        <f>'Schedules'!I25</f>
        <v/>
      </c>
      <c r="J14" s="13">
        <f>'Schedules'!J25</f>
        <v/>
      </c>
    </row>
    <row r="15">
      <c r="B15" t="inlineStr">
        <is>
          <t>Lease principal repaid</t>
        </is>
      </c>
      <c r="F15" s="13">
        <f>'Schedules'!F30</f>
        <v/>
      </c>
      <c r="G15" s="13">
        <f>'Schedules'!G30</f>
        <v/>
      </c>
      <c r="H15" s="13">
        <f>'Schedules'!H30</f>
        <v/>
      </c>
      <c r="I15" s="13">
        <f>'Schedules'!I30</f>
        <v/>
      </c>
      <c r="J15" s="13">
        <f>'Schedules'!J30</f>
        <v/>
      </c>
    </row>
    <row r="16">
      <c r="B16" t="inlineStr">
        <is>
          <t>Lease interest</t>
        </is>
      </c>
      <c r="F16" s="13">
        <f>'Schedules'!F29</f>
        <v/>
      </c>
      <c r="G16" s="13">
        <f>'Schedules'!G29</f>
        <v/>
      </c>
      <c r="H16" s="13">
        <f>'Schedules'!H29</f>
        <v/>
      </c>
      <c r="I16" s="13">
        <f>'Schedules'!I29</f>
        <v/>
      </c>
      <c r="J16" s="13">
        <f>'Schedules'!J29</f>
        <v/>
      </c>
    </row>
    <row r="17">
      <c r="B17" t="inlineStr">
        <is>
          <t>Opening financial debt</t>
        </is>
      </c>
      <c r="F17" s="3">
        <f>'LBO'!$C$9</f>
        <v/>
      </c>
      <c r="G17" s="3">
        <f>'LBO'!F20</f>
        <v/>
      </c>
      <c r="H17" s="3">
        <f>'LBO'!G20</f>
        <v/>
      </c>
      <c r="I17" s="3">
        <f>'LBO'!H20</f>
        <v/>
      </c>
      <c r="J17" s="3">
        <f>'LBO'!I20</f>
        <v/>
      </c>
    </row>
    <row r="18">
      <c r="B18" t="inlineStr">
        <is>
          <t>Interest on financial debt (rate on the opening balance)</t>
        </is>
      </c>
      <c r="F18" s="3">
        <f>'LBO'!F17*'Assumptions'!$C$44</f>
        <v/>
      </c>
      <c r="G18" s="3">
        <f>'LBO'!G17*'Assumptions'!$C$44</f>
        <v/>
      </c>
      <c r="H18" s="3">
        <f>'LBO'!H17*'Assumptions'!$C$44</f>
        <v/>
      </c>
      <c r="I18" s="3">
        <f>'LBO'!I17*'Assumptions'!$C$44</f>
        <v/>
      </c>
      <c r="J18" s="3">
        <f>'LBO'!J17*'Assumptions'!$C$44</f>
        <v/>
      </c>
    </row>
    <row r="19">
      <c r="B19" t="inlineStr">
        <is>
          <t>Cash available to repay debt (negative draws more)</t>
        </is>
      </c>
      <c r="F19" s="3">
        <f>'LBO'!F13+'LBO'!F14-'LBO'!F15-'LBO'!F16*(1-'Assumptions'!$C$39)-'LBO'!F18*(1-'Assumptions'!$C$39)</f>
        <v/>
      </c>
      <c r="G19" s="3">
        <f>'LBO'!G13+'LBO'!G14-'LBO'!G15-'LBO'!G16*(1-'Assumptions'!$C$39)-'LBO'!G18*(1-'Assumptions'!$C$39)</f>
        <v/>
      </c>
      <c r="H19" s="3">
        <f>'LBO'!H13+'LBO'!H14-'LBO'!H15-'LBO'!H16*(1-'Assumptions'!$C$39)-'LBO'!H18*(1-'Assumptions'!$C$39)</f>
        <v/>
      </c>
      <c r="I19" s="3">
        <f>'LBO'!I13+'LBO'!I14-'LBO'!I15-'LBO'!I16*(1-'Assumptions'!$C$39)-'LBO'!I18*(1-'Assumptions'!$C$39)</f>
        <v/>
      </c>
      <c r="J19" s="3">
        <f>'LBO'!J13+'LBO'!J14-'LBO'!J15-'LBO'!J16*(1-'Assumptions'!$C$39)-'LBO'!J18*(1-'Assumptions'!$C$39)</f>
        <v/>
      </c>
    </row>
    <row r="20">
      <c r="B20" t="inlineStr">
        <is>
          <t>Closing financial debt</t>
        </is>
      </c>
      <c r="F20" s="3">
        <f>'LBO'!F17-'LBO'!F19</f>
        <v/>
      </c>
      <c r="G20" s="3">
        <f>'LBO'!G17-'LBO'!G19</f>
        <v/>
      </c>
      <c r="H20" s="3">
        <f>'LBO'!H17-'LBO'!H19</f>
        <v/>
      </c>
      <c r="I20" s="3">
        <f>'LBO'!I17-'LBO'!I19</f>
        <v/>
      </c>
      <c r="J20" s="3">
        <f>'LBO'!J17-'LBO'!J19</f>
        <v/>
      </c>
    </row>
    <row r="21">
      <c r="B21" t="inlineStr">
        <is>
          <t>Closing lease liabilities (the DCF's own lease book — it GROWS)</t>
        </is>
      </c>
      <c r="F21" s="13">
        <f>'Schedules'!F31</f>
        <v/>
      </c>
      <c r="G21" s="13">
        <f>'Schedules'!G31</f>
        <v/>
      </c>
      <c r="H21" s="13">
        <f>'Schedules'!H31</f>
        <v/>
      </c>
      <c r="I21" s="13">
        <f>'Schedules'!I31</f>
        <v/>
      </c>
      <c r="J21" s="13">
        <f>'Schedules'!J31</f>
        <v/>
      </c>
    </row>
    <row r="22">
      <c r="B22" t="inlineStr">
        <is>
          <t>Closing total debt including leases</t>
        </is>
      </c>
      <c r="F22" s="3">
        <f>'LBO'!F20+'LBO'!F21</f>
        <v/>
      </c>
      <c r="G22" s="3">
        <f>'LBO'!G20+'LBO'!G21</f>
        <v/>
      </c>
      <c r="H22" s="3">
        <f>'LBO'!H20+'LBO'!H21</f>
        <v/>
      </c>
      <c r="I22" s="3">
        <f>'LBO'!I20+'LBO'!I21</f>
        <v/>
      </c>
      <c r="J22" s="3">
        <f>'LBO'!J20+'LBO'!J21</f>
        <v/>
      </c>
    </row>
    <row r="23">
      <c r="B23" t="inlineStr">
        <is>
          <t>Closing total debt / that year's EBITDA</t>
        </is>
      </c>
      <c r="F23" s="4">
        <f>'LBO'!F22/'IS'!F7</f>
        <v/>
      </c>
      <c r="G23" s="4">
        <f>'LBO'!G22/'IS'!G7</f>
        <v/>
      </c>
      <c r="H23" s="4">
        <f>'LBO'!H22/'IS'!H7</f>
        <v/>
      </c>
      <c r="I23" s="4">
        <f>'LBO'!I22/'IS'!I7</f>
        <v/>
      </c>
      <c r="J23" s="4">
        <f>'LBO'!J22/'IS'!J7</f>
        <v/>
      </c>
    </row>
    <row r="25">
      <c r="A25" s="1" t="inlineStr">
        <is>
          <t>Exit — at the multiple paid, with no expansion assumed</t>
        </is>
      </c>
    </row>
    <row r="26">
      <c r="B26" t="inlineStr">
        <is>
          <t>Exit EBITDA (FY2030)</t>
        </is>
      </c>
      <c r="C26" s="13">
        <f>'IS'!J7</f>
        <v/>
      </c>
    </row>
    <row r="27">
      <c r="B27" t="inlineStr">
        <is>
          <t>Exit EV/EBITDA (the entry multiple, unchanged)</t>
        </is>
      </c>
      <c r="C27" s="4">
        <f>'LBO'!$C$5</f>
        <v/>
      </c>
    </row>
    <row r="28">
      <c r="B28" t="inlineStr">
        <is>
          <t>Exit enterprise value</t>
        </is>
      </c>
      <c r="C28" s="3">
        <f>'LBO'!$C$27*'LBO'!$C$26</f>
        <v/>
      </c>
    </row>
    <row r="29">
      <c r="B29" t="inlineStr">
        <is>
          <t>Exit total net debt including leases</t>
        </is>
      </c>
      <c r="C29" s="13">
        <f>'LBO'!J22</f>
        <v/>
      </c>
    </row>
    <row r="30">
      <c r="B30" t="inlineStr">
        <is>
          <t>Exit equity value</t>
        </is>
      </c>
      <c r="C30" s="3">
        <f>'LBO'!$C$28-'LBO'!$C$29</f>
        <v/>
      </c>
    </row>
    <row r="31">
      <c r="B31" t="inlineStr">
        <is>
          <t>Hold period (years, = the length of the forecast)</t>
        </is>
      </c>
      <c r="C31" s="12">
        <f>COLUMNS(F13:J13)</f>
        <v/>
      </c>
    </row>
    <row r="32">
      <c r="B32" t="inlineStr">
        <is>
          <t>Money multiple (exit equity / entry equity)</t>
        </is>
      </c>
      <c r="C32" s="4">
        <f>'LBO'!$C$30/'LBO'!$C$10</f>
        <v/>
      </c>
    </row>
    <row r="33">
      <c r="B33" t="inlineStr">
        <is>
          <t>IRR (geometric: one cheque in, one out)</t>
        </is>
      </c>
      <c r="C33" s="9">
        <f>'LBO'!$C$32^(1/'LBO'!$C$31)-1</f>
        <v/>
      </c>
    </row>
    <row r="34">
      <c r="B34" t="inlineStr">
        <is>
          <t>IRR less the sponsor hurdle (negative = below it)</t>
        </is>
      </c>
      <c r="C34" s="9">
        <f>'LBO'!$C$33-'Assumptions'!$C$65</f>
        <v/>
      </c>
    </row>
    <row r="35">
      <c r="B35" t="inlineStr">
        <is>
          <t>Exit EV/EBITDA that would clear the hurdle (against the entry multiple above)</t>
        </is>
      </c>
      <c r="C35" s="4">
        <f>('LBO'!$C$10*(1+'Assumptions'!$C$65)^'LBO'!$C$31+'LBO'!$C$29)/'LBO'!$C$26</f>
        <v/>
      </c>
    </row>
    <row r="36">
      <c r="B36" t="inlineStr">
        <is>
          <t>Change in total debt over the hold (exit less entry, £m; positive = debt GREW)</t>
        </is>
      </c>
      <c r="C36" s="3">
        <f>'LBO'!$C$29-'LBO'!$C$7</f>
        <v/>
      </c>
    </row>
    <row r="37">
      <c r="B37" t="inlineStr">
        <is>
          <t>EBITDA growth over the hold</t>
        </is>
      </c>
      <c r="C37" s="9">
        <f>'LBO'!$C$26/'LBO'!$C$4-1</f>
        <v/>
      </c>
    </row>
    <row r="38">
      <c r="B38" t="inlineStr">
        <is>
          <t>Read the two rows above together. De-gearing contributes nothing to the return in any scenario and works against it in two: total debt including leases ends £208.7m HIGHER in Bear and £118.2m higher in Base, and only £6.8m lower in Bull, against an equity cheque of £1,001.7m. The money multiple is therefore essentially an EBITDA-growth story applied to a static multiple. Unlevered free cash flow is negative in FY2026 in every scenario (and in FY2027 too in Bear and Base) while the distribution-centre programme runs, so the sponsor FUNDS capex rather than sweeping cash against the debt; and the lease book grows in all three, because the model opens more shops than it closes.</t>
        </is>
      </c>
    </row>
    <row r="39">
      <c r="B39" t="inlineStr">
        <is>
          <t>This sheet CANNOT corroborate the DCF: the free cash flow row above is the DCF's own row, so both are wrong together or right together. It is the same cash flows re-expressed levered and inside a five-year window, which is why the terminal-value concentration on the DCF sheet shows up here as a low IRR. It also carries no control premium and no fees, both of which flatter it — lbo.py quantifies each.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4" customWidth="1" min="12" max="12"/>
  </cols>
  <sheetData>
    <row r="1">
      <c r="A1" s="1" t="inlineStr">
        <is>
          <t>Football field — valuation ranges, pence per share</t>
        </is>
      </c>
    </row>
    <row r="3">
      <c r="C3" s="5" t="inlineStr">
        <is>
          <t>Low</t>
        </is>
      </c>
      <c r="D3" s="5" t="inlineStr">
        <is>
          <t>High</t>
        </is>
      </c>
      <c r="E3" s="5" t="inlineStr">
        <is>
          <t>Span</t>
        </is>
      </c>
      <c r="F3" s="5" t="inlineStr">
        <is>
          <t>Central</t>
        </is>
      </c>
    </row>
    <row r="4">
      <c r="B4" t="inlineStr">
        <is>
          <t>DCF (Gordon) — WACC +/-100bp, perpetuity growth +/-50bp</t>
        </is>
      </c>
      <c r="C4" s="17">
        <f>MIN('Sensitivity'!D5:H5,'Sensitivity'!D6:H6,'Sensitivity'!D7:H7,'Sensitivity'!D8:H8,'Sensitivity'!D9:H9)</f>
        <v/>
      </c>
      <c r="D4" s="17">
        <f>MAX('Sensitivity'!D5:H5,'Sensitivity'!D6:H6,'Sensitivity'!D7:H7,'Sensitivity'!D8:H8,'Sensitivity'!D9:H9)</f>
        <v/>
      </c>
      <c r="E4" s="17">
        <f>D4-C4</f>
        <v/>
      </c>
      <c r="F4" s="17">
        <f>'DCF'!$C$65</f>
        <v/>
      </c>
    </row>
    <row r="5">
      <c r="B5" t="inlineStr">
        <is>
          <t>Trading comps — peer minimum to peer maximum EV/EBITDA</t>
        </is>
      </c>
      <c r="C5" s="17">
        <f>'Comps'!$C$47</f>
        <v/>
      </c>
      <c r="D5" s="17">
        <f>'Comps'!$C$49</f>
        <v/>
      </c>
      <c r="E5" s="17">
        <f>D5-C5</f>
        <v/>
      </c>
      <c r="F5" s="17">
        <f>'Comps'!$C$48</f>
        <v/>
      </c>
    </row>
    <row r="6">
      <c r="B6" t="inlineStr">
        <is>
          <t>52-week traded range — the market's own answer</t>
        </is>
      </c>
      <c r="C6" s="17">
        <f>'Comps'!$C$50</f>
        <v/>
      </c>
      <c r="D6" s="17">
        <f>'Comps'!$C$51</f>
        <v/>
      </c>
      <c r="E6" s="17">
        <f>D6-C6</f>
        <v/>
      </c>
      <c r="F6" s="17">
        <f>'Comps'!$C$24</f>
        <v/>
      </c>
    </row>
    <row r="8">
      <c r="B8" t="inlineStr">
        <is>
          <t>There is deliberately NO exit-multiple bar. The exit multiple is derived as peer median EV/EBIT x (1 - terminal D&amp;A/EBITDA), and since EV/EBITDA = EV/EBIT x (1 - D&amp;A/EBITDA) is an identity, its terminal value is arithmetically the peer median EV/EBIT applied to terminal EBIT. Drawn beside the Gordon bar it would present one peer statistic, already carried by the comps bar, as a second independent method.</t>
        </is>
      </c>
    </row>
    <row r="9">
      <c r="B9" t="inlineStr">
        <is>
          <t>The 52-week range and the traded price are market observations from one provider on one date -- see the observation date on Comps. They are the only figures in this workbook that are wrong tomorrow rather than merely out of date at the next reporting cycle. Re-read them before showing this sheet to anyone.</t>
        </is>
      </c>
    </row>
    <row r="10">
      <c r="B10" t="inlineStr">
        <is>
          <t>A wider bar is not a less confident method. The comps bar spans the peer minimum to maximum across five names, none of which is a close structural match for leased-estate food-to-go; the DCF bar spans a deliberately chosen +/-100bp of WACC. They are different kinds of range and should not be compared by width.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2026-08-13T11:08:57Z</dcterms:created>
  <dcterms:modified xmlns:dcterms="http://purl.org/dc/terms/" xmlns:xsi="http://www.w3.org/2001/XMLSchema-instance" xsi:type="dcterms:W3CDTF">2026-08-13T11:08:57Z</dcterms:modified>
</cp:coreProperties>
</file>