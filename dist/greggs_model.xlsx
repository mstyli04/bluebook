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hecks" sheetId="2" state="visible" r:id="rId2"/>
    <sheet xmlns:r="http://schemas.openxmlformats.org/officeDocument/2006/relationships" name="Assumptions" sheetId="3" state="visible" r:id="rId3"/>
    <sheet xmlns:r="http://schemas.openxmlformats.org/officeDocument/2006/relationships" name="Historicals" sheetId="4" state="visible" r:id="rId4"/>
    <sheet xmlns:r="http://schemas.openxmlformats.org/officeDocument/2006/relationships" name="IS" sheetId="5" state="visible" r:id="rId5"/>
    <sheet xmlns:r="http://schemas.openxmlformats.org/officeDocument/2006/relationships" name="BS" sheetId="6" state="visible" r:id="rId6"/>
    <sheet xmlns:r="http://schemas.openxmlformats.org/officeDocument/2006/relationships" name="CF" sheetId="7" state="visible" r:id="rId7"/>
    <sheet xmlns:r="http://schemas.openxmlformats.org/officeDocument/2006/relationships" name="Schedules" sheetId="8" state="visible" r:id="rId8"/>
    <sheet xmlns:r="http://schemas.openxmlformats.org/officeDocument/2006/relationships" name="DCF" sheetId="9" state="visible" r:id="rId9"/>
    <sheet xmlns:r="http://schemas.openxmlformats.org/officeDocument/2006/relationships" name="Sensitivity" sheetId="10" state="visible" r:id="rId10"/>
    <sheet xmlns:r="http://schemas.openxmlformats.org/officeDocument/2006/relationships" name="Comps" sheetId="11" state="visible" r:id="rId11"/>
    <sheet xmlns:r="http://schemas.openxmlformats.org/officeDocument/2006/relationships" name="LBO" sheetId="12" state="visible" r:id="rId12"/>
    <sheet xmlns:r="http://schemas.openxmlformats.org/officeDocument/2006/relationships" name="Football Field" sheetId="13" state="visible" r:id="rId13"/>
  </sheets>
  <definedNames/>
  <calcPr calcId="124519" fullCalcOnLoad="1" iterate="1" iterateCount="100" iterateDelta="0.0001"/>
</workbook>
</file>

<file path=xl/styles.xml><?xml version="1.0" encoding="utf-8"?>
<styleSheet xmlns="http://schemas.openxmlformats.org/spreadsheetml/2006/main">
  <numFmts count="4">
    <numFmt numFmtId="164" formatCode="0.0%"/>
    <numFmt numFmtId="165" formatCode="0.0&quot;x&quot;"/>
    <numFmt numFmtId="166" formatCode="#,##0.0;(#,##0.0)"/>
    <numFmt numFmtId="167" formatCode="#,##0&quot;p&quot;"/>
  </numFmts>
  <fonts count="6">
    <font>
      <name val="Calibri"/>
      <family val="2"/>
      <color theme="1"/>
      <sz val="11"/>
      <scheme val="minor"/>
    </font>
    <font>
      <b val="1"/>
      <sz val="14"/>
    </font>
    <font>
      <b val="1"/>
      <color rgb="FF000000"/>
    </font>
    <font>
      <color rgb="FF0000FF"/>
    </font>
    <font>
      <color rgb="FF000000"/>
    </font>
    <font>
      <color rgb="FF008000"/>
    </font>
  </fonts>
  <fills count="2">
    <fill>
      <patternFill/>
    </fill>
    <fill>
      <patternFill patternType="gray125"/>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4" fillId="0" borderId="0" pivotButton="0" quotePrefix="0" xfId="0"/>
    <xf numFmtId="166" fontId="4" fillId="0" borderId="0" pivotButton="0" quotePrefix="0" xfId="0"/>
    <xf numFmtId="165" fontId="4" fillId="0" borderId="0" pivotButton="0" quotePrefix="0" xfId="0"/>
    <xf numFmtId="0" fontId="2" fillId="0" borderId="0" pivotButton="0" quotePrefix="0" xfId="0"/>
    <xf numFmtId="0" fontId="3" fillId="0" borderId="0" pivotButton="0" quotePrefix="0" xfId="0"/>
    <xf numFmtId="164" fontId="3" fillId="0" borderId="0" pivotButton="0" quotePrefix="0" xfId="0"/>
    <xf numFmtId="165" fontId="3" fillId="0" borderId="0" pivotButton="0" quotePrefix="0" xfId="0"/>
    <xf numFmtId="164" fontId="4" fillId="0" borderId="0" pivotButton="0" quotePrefix="0" xfId="0"/>
    <xf numFmtId="4" fontId="3" fillId="0" borderId="0" pivotButton="0" quotePrefix="0" xfId="0"/>
    <xf numFmtId="166" fontId="3" fillId="0" borderId="0" pivotButton="0" quotePrefix="0" xfId="0"/>
    <xf numFmtId="4" fontId="4" fillId="0" borderId="0" pivotButton="0" quotePrefix="0" xfId="0"/>
    <xf numFmtId="166" fontId="5" fillId="0" borderId="0" pivotButton="0" quotePrefix="0" xfId="0"/>
    <xf numFmtId="164" fontId="5" fillId="0" borderId="0" pivotButton="0" quotePrefix="0" xfId="0"/>
    <xf numFmtId="165" fontId="5" fillId="0" borderId="0" pivotButton="0" quotePrefix="0" xfId="0"/>
    <xf numFmtId="4" fontId="5" fillId="0" borderId="0" pivotButton="0" quotePrefix="0" xfId="0"/>
    <xf numFmtId="167" fontId="4" fillId="0" borderId="0" pivotButton="0" quotePrefix="0" xfId="0"/>
    <xf numFmtId="167"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Greggs plc — implied value per share (pence)</a:t>
            </a:r>
          </a:p>
        </rich>
      </tx>
    </title>
    <plotArea>
      <barChart>
        <barDir val="bar"/>
        <grouping val="stacked"/>
        <ser>
          <idx val="0"/>
          <order val="0"/>
          <spPr>
            <a:noFill xmlns:a="http://schemas.openxmlformats.org/drawingml/2006/main"/>
            <a:ln xmlns:a="http://schemas.openxmlformats.org/drawingml/2006/main">
              <a:noFill/>
              <a:prstDash val="solid"/>
            </a:ln>
          </spPr>
          <dPt>
            <idx val="0"/>
            <spPr>
              <a:noFill xmlns:a="http://schemas.openxmlformats.org/drawingml/2006/main"/>
              <a:ln xmlns:a="http://schemas.openxmlformats.org/drawingml/2006/main">
                <a:noFill/>
                <a:prstDash val="solid"/>
              </a:ln>
            </spPr>
          </dPt>
          <dPt>
            <idx val="1"/>
            <spPr>
              <a:noFill xmlns:a="http://schemas.openxmlformats.org/drawingml/2006/main"/>
              <a:ln xmlns:a="http://schemas.openxmlformats.org/drawingml/2006/main">
                <a:noFill/>
                <a:prstDash val="solid"/>
              </a:ln>
            </spPr>
          </dPt>
          <dPt>
            <idx val="2"/>
            <spPr>
              <a:noFill xmlns:a="http://schemas.openxmlformats.org/drawingml/2006/main"/>
              <a:ln xmlns:a="http://schemas.openxmlformats.org/drawingml/2006/main">
                <a:noFill/>
                <a:prstDash val="solid"/>
              </a:ln>
            </spPr>
          </dPt>
          <cat>
            <numRef>
              <f>'Football Field'!$B$4:$B$6</f>
            </numRef>
          </cat>
          <val>
            <numRef>
              <f>'Football Field'!$C$4:$C$6</f>
            </numRef>
          </val>
        </ser>
        <ser>
          <idx val="1"/>
          <order val="1"/>
          <spPr>
            <a:ln xmlns:a="http://schemas.openxmlformats.org/drawingml/2006/main">
              <a:prstDash val="solid"/>
            </a:ln>
          </spPr>
          <cat>
            <numRef>
              <f>'Football Field'!$B$4:$B$6</f>
            </numRef>
          </cat>
          <val>
            <numRef>
              <f>'Football Field'!$E$4:$E$6</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Pence per share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13</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 customWidth="1" min="1" max="1"/>
    <col width="11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Greggs plc — three-statement operating model and valuation</t>
        </is>
      </c>
    </row>
    <row r="2"/>
    <row r="3" ht="15" customHeight="1">
      <c r="B3" s="2" t="inlineStr">
        <is>
          <t>All figures £m unless stated. Reported figures are post-IFRS 16.</t>
        </is>
      </c>
    </row>
    <row r="4" ht="30" customHeight="1">
      <c r="B4" s="2" t="inlineStr">
        <is>
          <t>Scenario switch: Assumptions!C3 (Bear / Base / Bull). Changing it re-drives every forecast, schedule and valuation in this workbook.</t>
        </is>
      </c>
    </row>
    <row r="5" ht="45" customHeight="1">
      <c r="B5" s="2" t="inlineStr">
        <is>
          <t>There are no circular references: interest on borrowings is charged on the opening balance, so the workbook recalculates in a single pass. Iterative calculation is enabled anyway (100 iterations, 0.0001 delta) so that a later edit introducing a circularity converges rather than erroring.</t>
        </is>
      </c>
    </row>
    <row r="6" ht="105" customHeight="1">
      <c r="B6" s="2" t="inlineStr">
        <is>
          <t>FINANCING ASSUMPTION: the revolving credit facility is assumed to be upsized. Forecast borrowings peak in FY2028 in every scenario, at roughly twice the £100m facility drawn against at FY2025. Lease-inclusive net debt peaks at 1.5x EBITDA in the Base case and 1.8x in Bear, so the upsize is an assumption about facility availability, not about solvency. That is the lease-consistent measure: against a post-IFRS 16 EBITDA, gross borrowings alone would read 0.5x, which flatters the position by excluding the lease obligations the denominator has already been credited for. Both figures are on the Checks sheet.</t>
        </is>
      </c>
    </row>
    <row r="7" ht="75" customHeight="1">
      <c r="B7" s="2" t="inlineStr">
        <is>
          <t>LEASE TREATMENT: post-IFRS 16 throughout, and applied identically to the DCF, the trading comps and the LBO so the three can be read against each other. EBITDA excludes rent; right-of-use depreciation sits inside D&amp;A; new right-of-use additions are an investing outflow in unlevered free cash flow; and lease liabilities are deducted as debt in the equity bridge and carried in the debt weight of the WACC.</t>
        </is>
      </c>
    </row>
    <row r="8" ht="90" customHeight="1">
      <c r="B8" s="2" t="inlineStr">
        <is>
          <t>PROVENANCE IS NOT SYMMETRIC. Greggs' own historical figures were read line by line from the annual reports and reconciled to the filings, each with a page reference (Historicals, column L). The peer figures were not: they came from results announcements, carry no page references, and three of the five peer EBITDAs are build-ups from printed components rather than printed subtotals. The load-bearing statistic — the peer median EV/EBIT — rests only on printed EBIT figures. See Comps for the detail; the two sets are in one table but are not of one standard.</t>
        </is>
      </c>
    </row>
    <row r="9" ht="75" customHeight="1">
      <c r="B9" s="2" t="inlineStr">
        <is>
          <t>IMPAIRMENT CONVENTION: the historical depreciation lines include the year's net impairment, so D&amp;A here exceeds the cash flow statement's depreciation by £3.9-6.9m a year and impairment is added back as the non-cash charge it is. One consequence is disclosed on Comps: Greggs' EBIT is struck after impairment while every peer's underlying EBIT is struck before it, so the headline EV/EBIT comparison is not like for like. Comps carries the restated, like-for-like version beside it.</t>
        </is>
      </c>
    </row>
    <row r="10" ht="90" customHeight="1">
      <c r="B10" s="2" t="inlineStr">
        <is>
          <t>NOT EVERYTHING HERE IS SOURCED. The risk-free rate, equity risk premium, beta and RCF credit spread are reasoned judgement estimates; so are the £50m minimum cash floor and the LBO's 4.0x entry leverage and 20% IRR hurdle, which are conventions rather than facts. Market data — every share price, share count and the 52-week range — is a one-day observation from a price provider, not a filing. The forecast drivers are the author's assumptions and are not company guidance. Everything else is transcribed from a filing (see Historicals, column L) or derived from those transcriptions.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Checks — integrity tests. Every result below must read TRUE.</t>
        </is>
      </c>
    </row>
    <row r="3">
      <c r="B3" t="inlineStr">
        <is>
          <t>Balance sheet balances in every forecast year</t>
        </is>
      </c>
      <c r="D3" s="3">
        <f>AND(ABS('BS'!F19)&lt;1e-06,ABS('BS'!G19)&lt;1e-06,ABS('BS'!H19)&lt;1e-06,ABS('BS'!I19)&lt;1e-06,ABS('BS'!J19)&lt;1e-06)</f>
        <v/>
      </c>
    </row>
    <row r="4">
      <c r="B4" t="inlineStr">
        <is>
          <t>Closing cash agrees across all three constructions of it, every year</t>
        </is>
      </c>
      <c r="D4" s="3">
        <f>AND(AND(ABS('CF'!F20-'BS'!F8)&lt;1e-06,ABS('CF'!F20-'Schedules'!F48)&lt;1e-06),AND(ABS('CF'!G20-'BS'!G8)&lt;1e-06,ABS('CF'!G20-'Schedules'!G48)&lt;1e-06),AND(ABS('CF'!H20-'BS'!H8)&lt;1e-06,ABS('CF'!H20-'Schedules'!H48)&lt;1e-06),AND(ABS('CF'!I20-'BS'!I8)&lt;1e-06,ABS('CF'!I20-'Schedules'!I48)&lt;1e-06),AND(ABS('CF'!J20-'BS'!J8)&lt;1e-06,ABS('CF'!J20-'Schedules'!J48)&lt;1e-06))</f>
        <v/>
      </c>
    </row>
    <row r="5">
      <c r="B5" t="inlineStr">
        <is>
          <t>Closing borrowings never negative (no accidental cash-as-debt)</t>
        </is>
      </c>
      <c r="D5" s="3">
        <f>AND('Schedules'!F47&gt;=0,'Schedules'!G47&gt;=0,'Schedules'!H47&gt;=0,'Schedules'!I47&gt;=0,'Schedules'!J47&gt;=0)</f>
        <v/>
      </c>
    </row>
    <row r="6">
      <c r="B6" t="inlineStr">
        <is>
          <t>Cash never falls below the £50m minimum the revolver defends</t>
        </is>
      </c>
      <c r="D6" s="3">
        <f>AND('CF'!F20&gt;=50.0-1e-06,'CF'!G20&gt;=50.0-1e-06,'CF'!H20&gt;=50.0-1e-06,'CF'!I20&gt;=50.0-1e-06,'CF'!J20&gt;=50.0-1e-06)</f>
        <v/>
      </c>
    </row>
    <row r="7">
      <c r="B7" t="inlineStr">
        <is>
          <t>Perpetuity growth is below WACC (the Gordon formula is defined)</t>
        </is>
      </c>
      <c r="D7" s="3">
        <f>'DCF'!$C$21&lt;'DCF'!$C$5</f>
        <v/>
      </c>
    </row>
    <row r="8">
      <c r="B8" t="inlineStr">
        <is>
          <t>Terminal value is below 97% of enterprise value</t>
        </is>
      </c>
      <c r="D8" s="3">
        <f>'DCF'!$C$60&lt;0.97</f>
        <v/>
      </c>
    </row>
    <row r="9">
      <c r="B9" t="inlineStr">
        <is>
          <t>No forecast revenue growth outside +/-50%, including the step off the last reported year</t>
        </is>
      </c>
      <c r="D9" s="3">
        <f>AND(ABS('IS'!F3/'Historicals'!E3-1)&lt;0.5,ABS('IS'!G3/'IS'!F3-1)&lt;0.5,ABS('IS'!H3/'IS'!G3-1)&lt;0.5,ABS('IS'!I3/'IS'!H3-1)&lt;0.5,ABS('IS'!J3/'IS'!I3-1)&lt;0.5)</f>
        <v/>
      </c>
    </row>
    <row r="10">
      <c r="B10" t="inlineStr">
        <is>
          <t>Peak borrowings are an assumed facility upsize, not a solvency problem: lease-inclusive net debt / EBITDA below 2.0x every year</t>
        </is>
      </c>
      <c r="D10" s="3">
        <f>AND(('Schedules'!F47-'Schedules'!F48+'Schedules'!F31)/'IS'!F7&lt;2.0,('Schedules'!G47-'Schedules'!G48+'Schedules'!G31)/'IS'!G7&lt;2.0,('Schedules'!H47-'Schedules'!H48+'Schedules'!H31)/'IS'!H7&lt;2.0,('Schedules'!I47-'Schedules'!I48+'Schedules'!I31)/'IS'!I7&lt;2.0,('Schedules'!J47-'Schedules'!J48+'Schedules'!J31)/'IS'!J7&lt;2.0)</f>
        <v/>
      </c>
    </row>
    <row r="12">
      <c r="A12" s="1" t="inlineStr">
        <is>
          <t>The figures behind the financing disclosure</t>
        </is>
      </c>
    </row>
    <row r="13">
      <c r="B13" t="inlineStr">
        <is>
          <t>Peak forecast borrowings (£m) — against the £100m facility Greggs drew on at FY2025 (£25.0m drawn of £100m available)</t>
        </is>
      </c>
      <c r="C13" s="4">
        <f>MAX('Schedules'!F47,'Schedules'!G47,'Schedules'!H47,'Schedules'!I47,'Schedules'!J47)</f>
        <v/>
      </c>
    </row>
    <row r="14">
      <c r="B14" t="inlineStr">
        <is>
          <t>Peak lease-inclusive net debt / EBITDA (x) — the basis the check uses</t>
        </is>
      </c>
      <c r="C14" s="5">
        <f>MAX(('Schedules'!F47-'Schedules'!F48+'Schedules'!F31)/'IS'!F7,('Schedules'!G47-'Schedules'!G48+'Schedules'!G31)/'IS'!G7,('Schedules'!H47-'Schedules'!H48+'Schedules'!H31)/'IS'!H7,('Schedules'!I47-'Schedules'!I48+'Schedules'!I31)/'IS'!I7,('Schedules'!J47-'Schedules'!J48+'Schedules'!J31)/'IS'!J7)</f>
        <v/>
      </c>
    </row>
    <row r="15">
      <c r="B15" t="inlineStr">
        <is>
          <t>Memo: peak gross borrowings / EBITDA (x) — the flattering basis, shown so the difference is visible rather than hidden</t>
        </is>
      </c>
      <c r="C15" s="5">
        <f>MAX('Schedules'!F47/'IS'!F7,'Schedules'!G47/'IS'!G7,'Schedules'!H47/'IS'!H7,'Schedules'!I47/'IS'!I7,'Schedules'!J47/'IS'!J7)</f>
        <v/>
      </c>
    </row>
    <row r="17">
      <c r="B17" t="inlineStr">
        <is>
          <t>Every result above is a live formula reading the rows it tests, not a recorded outcome. Move the scenario switch on Assumptions and they re-evaluate. If any reads FALSE, the workbook is not internally consistent and nothing downstream of it should be quoted.</t>
        </is>
      </c>
    </row>
    <row r="18">
      <c r="B18" t="inlineStr">
        <is>
          <t>These test internal consistency, not whether the forecast is right. A model can tie out perfectly and still be built on the wrong drivers — the Cover's disclosures and the Historicals' source column are where that question is 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Assumptions — drivers and the scenario switch</t>
        </is>
      </c>
    </row>
    <row r="2">
      <c r="F2" s="6" t="inlineStr">
        <is>
          <t>FY2026</t>
        </is>
      </c>
      <c r="G2" s="6" t="inlineStr">
        <is>
          <t>FY2027</t>
        </is>
      </c>
      <c r="H2" s="6" t="inlineStr">
        <is>
          <t>FY2028</t>
        </is>
      </c>
      <c r="I2" s="6" t="inlineStr">
        <is>
          <t>FY2029</t>
        </is>
      </c>
      <c r="J2" s="6" t="inlineStr">
        <is>
          <t>FY2030</t>
        </is>
      </c>
    </row>
    <row r="3">
      <c r="B3" t="inlineStr">
        <is>
          <t>SCENARIO (Bear / Base / Bull)</t>
        </is>
      </c>
      <c r="C3" s="7" t="inlineStr">
        <is>
          <t>Base</t>
        </is>
      </c>
    </row>
    <row r="5">
      <c r="A5" s="1" t="inlineStr">
        <is>
          <t>Scenario paths (inputs)</t>
        </is>
      </c>
    </row>
    <row r="6">
      <c r="B6" t="inlineStr">
        <is>
          <t>Revenue growth — Bear</t>
        </is>
      </c>
      <c r="F6" s="8" t="n">
        <v>0.03</v>
      </c>
      <c r="G6" s="8" t="n">
        <v>0.025</v>
      </c>
      <c r="H6" s="8" t="n">
        <v>0.02</v>
      </c>
      <c r="I6" s="8" t="n">
        <v>0.015</v>
      </c>
      <c r="J6" s="8" t="n">
        <v>0.015</v>
      </c>
    </row>
    <row r="7">
      <c r="B7" t="inlineStr">
        <is>
          <t>Revenue growth — Base</t>
        </is>
      </c>
      <c r="F7" s="8" t="n">
        <v>0.06</v>
      </c>
      <c r="G7" s="8" t="n">
        <v>0.055</v>
      </c>
      <c r="H7" s="8" t="n">
        <v>0.05</v>
      </c>
      <c r="I7" s="8" t="n">
        <v>0.045</v>
      </c>
      <c r="J7" s="8" t="n">
        <v>0.045</v>
      </c>
    </row>
    <row r="8">
      <c r="B8" t="inlineStr">
        <is>
          <t>Revenue growth — Bull</t>
        </is>
      </c>
      <c r="F8" s="8" t="n">
        <v>0.08499999999999999</v>
      </c>
      <c r="G8" s="8" t="n">
        <v>0.08</v>
      </c>
      <c r="H8" s="8" t="n">
        <v>0.07500000000000001</v>
      </c>
      <c r="I8" s="8" t="n">
        <v>0.07000000000000001</v>
      </c>
      <c r="J8" s="8" t="n">
        <v>0.07000000000000001</v>
      </c>
    </row>
    <row r="9">
      <c r="B9" t="inlineStr">
        <is>
          <t>Gross margin — Bear</t>
        </is>
      </c>
      <c r="F9" s="8" t="n">
        <v>0.5996</v>
      </c>
      <c r="G9" s="8" t="n">
        <v>0.6015</v>
      </c>
      <c r="H9" s="8" t="n">
        <v>0.603</v>
      </c>
      <c r="I9" s="8" t="n">
        <v>0.604</v>
      </c>
      <c r="J9" s="8" t="n">
        <v>0.605</v>
      </c>
    </row>
    <row r="10">
      <c r="B10" t="inlineStr">
        <is>
          <t>Gross margin — Base</t>
        </is>
      </c>
      <c r="F10" s="8" t="n">
        <v>0.6146</v>
      </c>
      <c r="G10" s="8" t="n">
        <v>0.6165</v>
      </c>
      <c r="H10" s="8" t="n">
        <v>0.618</v>
      </c>
      <c r="I10" s="8" t="n">
        <v>0.619</v>
      </c>
      <c r="J10" s="8" t="n">
        <v>0.62</v>
      </c>
    </row>
    <row r="11">
      <c r="B11" t="inlineStr">
        <is>
          <t>Gross margin — Bull</t>
        </is>
      </c>
      <c r="F11" s="8" t="n">
        <v>0.6296</v>
      </c>
      <c r="G11" s="8" t="n">
        <v>0.6315000000000001</v>
      </c>
      <c r="H11" s="8" t="n">
        <v>0.633</v>
      </c>
      <c r="I11" s="8" t="n">
        <v>0.634</v>
      </c>
      <c r="J11" s="8" t="n">
        <v>0.635</v>
      </c>
    </row>
    <row r="12">
      <c r="B12" t="inlineStr">
        <is>
          <t>Operating costs (% of revenue) — Bear</t>
        </is>
      </c>
      <c r="F12" s="8" t="n">
        <v>0.4613</v>
      </c>
      <c r="G12" s="8" t="n">
        <v>0.458</v>
      </c>
      <c r="H12" s="8" t="n">
        <v>0.456</v>
      </c>
      <c r="I12" s="8" t="n">
        <v>0.4545</v>
      </c>
      <c r="J12" s="8" t="n">
        <v>0.453</v>
      </c>
    </row>
    <row r="13">
      <c r="B13" t="inlineStr">
        <is>
          <t>Operating costs (% of revenue) — Base</t>
        </is>
      </c>
      <c r="F13" s="8" t="n">
        <v>0.4513</v>
      </c>
      <c r="G13" s="8" t="n">
        <v>0.448</v>
      </c>
      <c r="H13" s="8" t="n">
        <v>0.446</v>
      </c>
      <c r="I13" s="8" t="n">
        <v>0.4445</v>
      </c>
      <c r="J13" s="8" t="n">
        <v>0.443</v>
      </c>
    </row>
    <row r="14">
      <c r="B14" t="inlineStr">
        <is>
          <t>Operating costs (% of revenue) — Bull</t>
        </is>
      </c>
      <c r="F14" s="8" t="n">
        <v>0.4413</v>
      </c>
      <c r="G14" s="8" t="n">
        <v>0.438</v>
      </c>
      <c r="H14" s="8" t="n">
        <v>0.436</v>
      </c>
      <c r="I14" s="8" t="n">
        <v>0.4345</v>
      </c>
      <c r="J14" s="8" t="n">
        <v>0.433</v>
      </c>
    </row>
    <row r="15">
      <c r="B15" t="inlineStr">
        <is>
          <t>Total capex (% of revenue) — Bear</t>
        </is>
      </c>
      <c r="F15" s="8" t="n">
        <v>0.1227</v>
      </c>
      <c r="G15" s="8" t="n">
        <v>0.111</v>
      </c>
      <c r="H15" s="8" t="n">
        <v>0.096</v>
      </c>
      <c r="I15" s="8" t="n">
        <v>0.08</v>
      </c>
      <c r="J15" s="8" t="n">
        <v>0.0682</v>
      </c>
    </row>
    <row r="16">
      <c r="B16" t="inlineStr">
        <is>
          <t>Total capex (% of revenue) — Base</t>
        </is>
      </c>
      <c r="F16" s="8" t="n">
        <v>0.1327</v>
      </c>
      <c r="G16" s="8" t="n">
        <v>0.121</v>
      </c>
      <c r="H16" s="8" t="n">
        <v>0.106</v>
      </c>
      <c r="I16" s="8" t="n">
        <v>0.09</v>
      </c>
      <c r="J16" s="8" t="n">
        <v>0.07770000000000001</v>
      </c>
    </row>
    <row r="17">
      <c r="B17" t="inlineStr">
        <is>
          <t>Total capex (% of revenue) — Bull</t>
        </is>
      </c>
      <c r="F17" s="8" t="n">
        <v>0.1407</v>
      </c>
      <c r="G17" s="8" t="n">
        <v>0.129</v>
      </c>
      <c r="H17" s="8" t="n">
        <v>0.114</v>
      </c>
      <c r="I17" s="8" t="n">
        <v>0.098</v>
      </c>
      <c r="J17" s="8" t="n">
        <v>0.0852</v>
      </c>
    </row>
    <row r="18">
      <c r="B18" t="inlineStr">
        <is>
          <t>ROU additions (% of revenue) — Bear</t>
        </is>
      </c>
      <c r="F18" s="8" t="n">
        <v>0.031</v>
      </c>
      <c r="G18" s="8" t="n">
        <v>0.0324</v>
      </c>
      <c r="H18" s="8" t="n">
        <v>0.0338</v>
      </c>
      <c r="I18" s="8" t="n">
        <v>0.0352</v>
      </c>
      <c r="J18" s="8" t="n">
        <v>0.03659999999999999</v>
      </c>
    </row>
    <row r="19">
      <c r="B19" t="inlineStr">
        <is>
          <t>ROU additions (% of revenue) — Base</t>
        </is>
      </c>
      <c r="F19" s="8" t="n">
        <v>0.035</v>
      </c>
      <c r="G19" s="8" t="n">
        <v>0.0364</v>
      </c>
      <c r="H19" s="8" t="n">
        <v>0.0378</v>
      </c>
      <c r="I19" s="8" t="n">
        <v>0.0392</v>
      </c>
      <c r="J19" s="8" t="n">
        <v>0.0406</v>
      </c>
    </row>
    <row r="20">
      <c r="B20" t="inlineStr">
        <is>
          <t>ROU additions (% of revenue) — Bull</t>
        </is>
      </c>
      <c r="F20" s="8" t="n">
        <v>0.03900000000000001</v>
      </c>
      <c r="G20" s="8" t="n">
        <v>0.04040000000000001</v>
      </c>
      <c r="H20" s="8" t="n">
        <v>0.0418</v>
      </c>
      <c r="I20" s="8" t="n">
        <v>0.0432</v>
      </c>
      <c r="J20" s="8" t="n">
        <v>0.0446</v>
      </c>
    </row>
    <row r="21">
      <c r="B21" t="inlineStr">
        <is>
          <t>Exit EV/EBITDA multiple — Bear</t>
        </is>
      </c>
      <c r="C21" s="9" t="n">
        <v>5.07</v>
      </c>
    </row>
    <row r="22">
      <c r="B22" t="inlineStr">
        <is>
          <t>Exit EV/EBITDA multiple — Base</t>
        </is>
      </c>
      <c r="C22" s="9" t="n">
        <v>6.31</v>
      </c>
    </row>
    <row r="23">
      <c r="B23" t="inlineStr">
        <is>
          <t>Exit EV/EBITDA multiple — Bull</t>
        </is>
      </c>
      <c r="C23" s="9" t="n">
        <v>7.24</v>
      </c>
    </row>
    <row r="25">
      <c r="A25" s="1" t="inlineStr">
        <is>
          <t>Live drivers (selected by the scenario switch in C3)</t>
        </is>
      </c>
    </row>
    <row r="26">
      <c r="B26" t="inlineStr">
        <is>
          <t>Revenue growth</t>
        </is>
      </c>
      <c r="F26" s="10">
        <f>CHOOSE(MATCH('Assumptions'!$C$3,{"Bear";"Base";"Bull"},0),'Assumptions'!F6,'Assumptions'!F7,'Assumptions'!F8)</f>
        <v/>
      </c>
      <c r="G26" s="10">
        <f>CHOOSE(MATCH('Assumptions'!$C$3,{"Bear";"Base";"Bull"},0),'Assumptions'!G6,'Assumptions'!G7,'Assumptions'!G8)</f>
        <v/>
      </c>
      <c r="H26" s="10">
        <f>CHOOSE(MATCH('Assumptions'!$C$3,{"Bear";"Base";"Bull"},0),'Assumptions'!H6,'Assumptions'!H7,'Assumptions'!H8)</f>
        <v/>
      </c>
      <c r="I26" s="10">
        <f>CHOOSE(MATCH('Assumptions'!$C$3,{"Bear";"Base";"Bull"},0),'Assumptions'!I6,'Assumptions'!I7,'Assumptions'!I8)</f>
        <v/>
      </c>
      <c r="J26" s="10">
        <f>CHOOSE(MATCH('Assumptions'!$C$3,{"Bear";"Base";"Bull"},0),'Assumptions'!J6,'Assumptions'!J7,'Assumptions'!J8)</f>
        <v/>
      </c>
    </row>
    <row r="27">
      <c r="B27" t="inlineStr">
        <is>
          <t>Gross margin</t>
        </is>
      </c>
      <c r="F27" s="10">
        <f>CHOOSE(MATCH('Assumptions'!$C$3,{"Bear";"Base";"Bull"},0),'Assumptions'!F9,'Assumptions'!F10,'Assumptions'!F11)</f>
        <v/>
      </c>
      <c r="G27" s="10">
        <f>CHOOSE(MATCH('Assumptions'!$C$3,{"Bear";"Base";"Bull"},0),'Assumptions'!G9,'Assumptions'!G10,'Assumptions'!G11)</f>
        <v/>
      </c>
      <c r="H27" s="10">
        <f>CHOOSE(MATCH('Assumptions'!$C$3,{"Bear";"Base";"Bull"},0),'Assumptions'!H9,'Assumptions'!H10,'Assumptions'!H11)</f>
        <v/>
      </c>
      <c r="I27" s="10">
        <f>CHOOSE(MATCH('Assumptions'!$C$3,{"Bear";"Base";"Bull"},0),'Assumptions'!I9,'Assumptions'!I10,'Assumptions'!I11)</f>
        <v/>
      </c>
      <c r="J27" s="10">
        <f>CHOOSE(MATCH('Assumptions'!$C$3,{"Bear";"Base";"Bull"},0),'Assumptions'!J9,'Assumptions'!J10,'Assumptions'!J11)</f>
        <v/>
      </c>
    </row>
    <row r="28">
      <c r="B28" t="inlineStr">
        <is>
          <t>Operating costs (% of revenue)</t>
        </is>
      </c>
      <c r="F28" s="10">
        <f>CHOOSE(MATCH('Assumptions'!$C$3,{"Bear";"Base";"Bull"},0),'Assumptions'!F12,'Assumptions'!F13,'Assumptions'!F14)</f>
        <v/>
      </c>
      <c r="G28" s="10">
        <f>CHOOSE(MATCH('Assumptions'!$C$3,{"Bear";"Base";"Bull"},0),'Assumptions'!G12,'Assumptions'!G13,'Assumptions'!G14)</f>
        <v/>
      </c>
      <c r="H28" s="10">
        <f>CHOOSE(MATCH('Assumptions'!$C$3,{"Bear";"Base";"Bull"},0),'Assumptions'!H12,'Assumptions'!H13,'Assumptions'!H14)</f>
        <v/>
      </c>
      <c r="I28" s="10">
        <f>CHOOSE(MATCH('Assumptions'!$C$3,{"Bear";"Base";"Bull"},0),'Assumptions'!I12,'Assumptions'!I13,'Assumptions'!I14)</f>
        <v/>
      </c>
      <c r="J28" s="10">
        <f>CHOOSE(MATCH('Assumptions'!$C$3,{"Bear";"Base";"Bull"},0),'Assumptions'!J12,'Assumptions'!J13,'Assumptions'!J14)</f>
        <v/>
      </c>
    </row>
    <row r="29">
      <c r="B29" t="inlineStr">
        <is>
          <t>Total capex (% of revenue)</t>
        </is>
      </c>
      <c r="F29" s="10">
        <f>CHOOSE(MATCH('Assumptions'!$C$3,{"Bear";"Base";"Bull"},0),'Assumptions'!F15,'Assumptions'!F16,'Assumptions'!F17)</f>
        <v/>
      </c>
      <c r="G29" s="10">
        <f>CHOOSE(MATCH('Assumptions'!$C$3,{"Bear";"Base";"Bull"},0),'Assumptions'!G15,'Assumptions'!G16,'Assumptions'!G17)</f>
        <v/>
      </c>
      <c r="H29" s="10">
        <f>CHOOSE(MATCH('Assumptions'!$C$3,{"Bear";"Base";"Bull"},0),'Assumptions'!H15,'Assumptions'!H16,'Assumptions'!H17)</f>
        <v/>
      </c>
      <c r="I29" s="10">
        <f>CHOOSE(MATCH('Assumptions'!$C$3,{"Bear";"Base";"Bull"},0),'Assumptions'!I15,'Assumptions'!I16,'Assumptions'!I17)</f>
        <v/>
      </c>
      <c r="J29" s="10">
        <f>CHOOSE(MATCH('Assumptions'!$C$3,{"Bear";"Base";"Bull"},0),'Assumptions'!J15,'Assumptions'!J16,'Assumptions'!J17)</f>
        <v/>
      </c>
    </row>
    <row r="30">
      <c r="B30" t="inlineStr">
        <is>
          <t>ROU additions (% of revenue)</t>
        </is>
      </c>
      <c r="F30" s="10">
        <f>CHOOSE(MATCH('Assumptions'!$C$3,{"Bear";"Base";"Bull"},0),'Assumptions'!F18,'Assumptions'!F19,'Assumptions'!F20)</f>
        <v/>
      </c>
      <c r="G30" s="10">
        <f>CHOOSE(MATCH('Assumptions'!$C$3,{"Bear";"Base";"Bull"},0),'Assumptions'!G18,'Assumptions'!G19,'Assumptions'!G20)</f>
        <v/>
      </c>
      <c r="H30" s="10">
        <f>CHOOSE(MATCH('Assumptions'!$C$3,{"Bear";"Base";"Bull"},0),'Assumptions'!H18,'Assumptions'!H19,'Assumptions'!H20)</f>
        <v/>
      </c>
      <c r="I30" s="10">
        <f>CHOOSE(MATCH('Assumptions'!$C$3,{"Bear";"Base";"Bull"},0),'Assumptions'!I18,'Assumptions'!I19,'Assumptions'!I20)</f>
        <v/>
      </c>
      <c r="J30" s="10">
        <f>CHOOSE(MATCH('Assumptions'!$C$3,{"Bear";"Base";"Bull"},0),'Assumptions'!J18,'Assumptions'!J19,'Assumptions'!J20)</f>
        <v/>
      </c>
    </row>
    <row r="31">
      <c r="B31" t="inlineStr">
        <is>
          <t>Exit EV/EBITDA multiple</t>
        </is>
      </c>
      <c r="C31" s="5">
        <f>CHOOSE(MATCH('Assumptions'!$C$3,{"Bear";"Base";"Bull"},0),'Assumptions'!C21,'Assumptions'!C22,'Assumptions'!C23)</f>
        <v/>
      </c>
    </row>
    <row r="33">
      <c r="A33" s="1" t="inlineStr">
        <is>
          <t>Operating and financing drivers (same in every scenario)</t>
        </is>
      </c>
    </row>
    <row r="34">
      <c r="B34" t="inlineStr">
        <is>
          <t>Inventory days (on cost of sales)</t>
        </is>
      </c>
      <c r="C34" s="11" t="n">
        <v>24.5</v>
      </c>
    </row>
    <row r="35">
      <c r="B35" t="inlineStr">
        <is>
          <t>Receivable days (on revenue)</t>
        </is>
      </c>
      <c r="C35" s="11" t="n">
        <v>11.8</v>
      </c>
    </row>
    <row r="36">
      <c r="B36" t="inlineStr">
        <is>
          <t>Payable days (on cost of sales)</t>
        </is>
      </c>
      <c r="C36" s="11" t="n">
        <v>120</v>
      </c>
    </row>
    <row r="37">
      <c r="B37" t="inlineStr">
        <is>
          <t>PP&amp;E depreciation rate (of opening PP&amp;E)</t>
        </is>
      </c>
      <c r="C37" s="8" t="n">
        <v>0.1423</v>
      </c>
    </row>
    <row r="38">
      <c r="B38" t="inlineStr">
        <is>
          <t>ROU depreciation rate (of opening ROU)</t>
        </is>
      </c>
      <c r="C38" s="8" t="n">
        <v>0.1761</v>
      </c>
    </row>
    <row r="39">
      <c r="B39" t="inlineStr">
        <is>
          <t>Corporation tax rate</t>
        </is>
      </c>
      <c r="C39" s="8" t="n">
        <v>0.25</v>
      </c>
    </row>
    <row r="40">
      <c r="B40" t="inlineStr">
        <is>
          <t>Dividend payout ratio (of net income)</t>
        </is>
      </c>
      <c r="C40" s="8" t="n">
        <v>0.5</v>
      </c>
    </row>
    <row r="41">
      <c r="B41" t="inlineStr">
        <is>
          <t>Minimum cash balance (£m)</t>
        </is>
      </c>
      <c r="C41" s="12" t="n">
        <v>50</v>
      </c>
    </row>
    <row r="42">
      <c r="B42" t="inlineStr">
        <is>
          <t>Days in year (working capital basis)</t>
        </is>
      </c>
      <c r="C42" s="11" t="n">
        <v>365</v>
      </c>
    </row>
    <row r="43">
      <c r="B43" t="inlineStr">
        <is>
          <t>RCF interest rate (risk-free + ~150bp, estimate)</t>
        </is>
      </c>
      <c r="C43" s="8" t="n">
        <v>0.055</v>
      </c>
    </row>
    <row r="44">
      <c r="B44" t="inlineStr">
        <is>
          <t>Revolver interest rate (charged in the debt schedule)</t>
        </is>
      </c>
      <c r="C44" s="10">
        <f>'Assumptions'!$C$43</f>
        <v/>
      </c>
    </row>
    <row r="45">
      <c r="B45" t="inlineStr">
        <is>
          <t>Risk-free rate (UK 10-year gilt, estimate)</t>
        </is>
      </c>
      <c r="C45" s="8" t="n">
        <v>0.04</v>
      </c>
    </row>
    <row r="46">
      <c r="B46" t="inlineStr">
        <is>
          <t>Equity risk premium (UK, estimate)</t>
        </is>
      </c>
      <c r="C46" s="8" t="n">
        <v>0.055</v>
      </c>
    </row>
    <row r="47">
      <c r="B47" t="inlineStr">
        <is>
          <t>Levered equity beta (estimate)</t>
        </is>
      </c>
      <c r="C47" s="11" t="n">
        <v>0.9</v>
      </c>
    </row>
    <row r="48">
      <c r="B48" t="inlineStr">
        <is>
          <t>Debt weight in WACC (incl. leases)</t>
        </is>
      </c>
      <c r="C48" s="8" t="n">
        <v>0.2075</v>
      </c>
    </row>
    <row r="49">
      <c r="B49" t="inlineStr">
        <is>
          <t>Perpetuity growth rate</t>
        </is>
      </c>
      <c r="C49" s="8" t="n">
        <v>0.02</v>
      </c>
    </row>
    <row r="51">
      <c r="A51" s="1" t="inlineStr">
        <is>
          <t>Rates derived from the filings (formulas off Historicals)</t>
        </is>
      </c>
    </row>
    <row r="52">
      <c r="B52" t="inlineStr">
        <is>
          <t>FY2025 interest on lease liabilities (FY2025 AR p.128)</t>
        </is>
      </c>
      <c r="C52" s="12" t="n">
        <v>16.7</v>
      </c>
    </row>
    <row r="53">
      <c r="B53" t="inlineStr">
        <is>
          <t>IFRS 16 lease discount rate (= FY2025 lease interest / FY2024 liability)</t>
        </is>
      </c>
      <c r="C53" s="10">
        <f>'Assumptions'!$C$52/'Historicals'!D30</f>
        <v/>
      </c>
    </row>
    <row r="54">
      <c r="B54" t="inlineStr">
        <is>
          <t>Undiscounted lease cash flows, total (FY2025 AR p.154)</t>
        </is>
      </c>
      <c r="C54" s="12" t="n">
        <v>582.3</v>
      </c>
    </row>
    <row r="55">
      <c r="B55" t="inlineStr">
        <is>
          <t>Undiscounted lease cash flows, &lt; 1 year (FY2025 AR p.154)</t>
        </is>
      </c>
      <c r="C55" s="12" t="n">
        <v>79.09999999999999</v>
      </c>
    </row>
    <row r="56">
      <c r="B56" t="inlineStr">
        <is>
          <t>Implied average lease term, years (= total / &lt; 1 year)</t>
        </is>
      </c>
      <c r="C56" s="13">
        <f>'Assumptions'!$C$54/'Assumptions'!$C$55</f>
        <v/>
      </c>
    </row>
    <row r="57">
      <c r="B57" t="inlineStr">
        <is>
          <t>Principal repaid on in-year lease additions (empirical fit)</t>
        </is>
      </c>
      <c r="C57" s="8" t="n">
        <v>0.0924</v>
      </c>
    </row>
    <row r="58">
      <c r="B58" t="inlineStr">
        <is>
          <t>Intangible share of total capex (FY2024-25 implied additions / capex)</t>
        </is>
      </c>
      <c r="C58" s="10">
        <f>(('Historicals'!D22-'Historicals'!C22+'Historicals'!D8)+('Historicals'!E22-'Historicals'!D22+'Historicals'!E8))/('Historicals'!D38+'Historicals'!E38)</f>
        <v/>
      </c>
    </row>
    <row r="59">
      <c r="B59" t="inlineStr">
        <is>
          <t>PP&amp;E share of total capex (= 1 - intangible share)</t>
        </is>
      </c>
      <c r="C59" s="10">
        <f>1-'Assumptions'!$C$58</f>
        <v/>
      </c>
    </row>
    <row r="60">
      <c r="B60" t="inlineStr">
        <is>
          <t>Amortisation rate (= FY2025 amortisation / FY2024 intangibles)</t>
        </is>
      </c>
      <c r="C60" s="10">
        <f>'Historicals'!E8/'Historicals'!D22</f>
        <v/>
      </c>
    </row>
    <row r="61">
      <c r="B61" t="inlineStr">
        <is>
          <t>Cost of debt for the WACC (RCF/lease blend, gross-weighted)</t>
        </is>
      </c>
      <c r="C61" s="10">
        <f>('Historicals'!E31*'Assumptions'!$C$43+'Historicals'!E30*'Assumptions'!$C$53)/('Historicals'!E31+'Historicals'!E30)</f>
        <v/>
      </c>
    </row>
    <row r="63">
      <c r="A63" s="1" t="inlineStr">
        <is>
          <t>LBO sponsor assumptions (conventions, not sourced figures)</t>
        </is>
      </c>
    </row>
    <row r="64">
      <c r="B64" t="inlineStr">
        <is>
          <t>Sponsor entry leverage (x EBITDA, total net debt INCLUDING leases)</t>
        </is>
      </c>
      <c r="C64" s="9" t="n">
        <v>4</v>
      </c>
    </row>
    <row r="65">
      <c r="B65" t="inlineStr">
        <is>
          <t>Sponsor IRR hurdle (conventional underwriting hurdle)</t>
        </is>
      </c>
      <c r="C65" s="8" t="n">
        <v>0.2</v>
      </c>
    </row>
  </sheetData>
  <dataValidations count="1">
    <dataValidation sqref="C3" showDropDown="0" showInputMessage="0" showErrorMessage="0" allowBlank="0" error="Choose Bear, Base or Bull." prompt="Toggling this cell re-drives every forecast in the workbook." type="list">
      <formula1>"Bear,Base,Bull"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Historicals — Greggs plc, £m as reported (post-IFRS 16)</t>
        </is>
      </c>
    </row>
    <row r="2">
      <c r="C2" s="6" t="inlineStr">
        <is>
          <t>FY2023</t>
        </is>
      </c>
      <c r="D2" s="6" t="inlineStr">
        <is>
          <t>FY2024</t>
        </is>
      </c>
      <c r="E2" s="6" t="inlineStr">
        <is>
          <t>FY2025</t>
        </is>
      </c>
    </row>
    <row r="3">
      <c r="B3" t="inlineStr">
        <is>
          <t>Revenue</t>
        </is>
      </c>
      <c r="C3" s="12" t="n">
        <v>1809.6</v>
      </c>
      <c r="D3" s="12" t="n">
        <v>2014.4</v>
      </c>
      <c r="E3" s="12" t="n">
        <v>2151.2</v>
      </c>
      <c r="L3" t="inlineStr">
        <is>
          <t>FY2023 AR p.119 / FY2024 AR p.128 / FY2025 AR p.128</t>
        </is>
      </c>
    </row>
    <row r="4">
      <c r="B4" t="inlineStr">
        <is>
          <t>Cost of sales</t>
        </is>
      </c>
      <c r="C4" s="12" t="n">
        <v>710.5</v>
      </c>
      <c r="D4" s="12" t="n">
        <v>770.8</v>
      </c>
      <c r="E4" s="12" t="n">
        <v>829.1</v>
      </c>
      <c r="L4" t="inlineStr">
        <is>
          <t>FY2023 AR p.119 / FY2024 AR p.128 / FY2025 AR p.128</t>
        </is>
      </c>
    </row>
    <row r="5">
      <c r="B5" t="inlineStr">
        <is>
          <t>Operating costs (excl. D&amp;A and impairment)</t>
        </is>
      </c>
      <c r="C5" s="12" t="n">
        <v>777.9</v>
      </c>
      <c r="D5" s="12" t="n">
        <v>889.2</v>
      </c>
      <c r="E5" s="12" t="n">
        <v>970.9</v>
      </c>
      <c r="L5" t="inlineStr">
        <is>
          <t>FY2023 AR p.119, p.124 (D&amp;A and impairment) / FY2024 AR p.128, p.147 (D&amp;A and impairment) / FY2025 AR p.128, p.148 (D&amp;A and impairment)</t>
        </is>
      </c>
    </row>
    <row r="6">
      <c r="B6" t="inlineStr">
        <is>
          <t>Depreciation of PP&amp;E (incl. net impairment)</t>
        </is>
      </c>
      <c r="C6" s="12" t="n">
        <v>68</v>
      </c>
      <c r="D6" s="12" t="n">
        <v>79.5</v>
      </c>
      <c r="E6" s="12" t="n">
        <v>94.59999999999999</v>
      </c>
      <c r="L6" t="inlineStr">
        <is>
          <t>FY2023 AR p.124 / FY2024 AR p.147 (Note 3) / FY2025 AR p.148 (Note 3)</t>
        </is>
      </c>
    </row>
    <row r="7">
      <c r="B7" t="inlineStr">
        <is>
          <t>Depreciation of ROU assets (incl. net impairment)</t>
        </is>
      </c>
      <c r="C7" s="12" t="n">
        <v>57</v>
      </c>
      <c r="D7" s="12" t="n">
        <v>61.3</v>
      </c>
      <c r="E7" s="12" t="n">
        <v>68.2</v>
      </c>
      <c r="L7" t="inlineStr">
        <is>
          <t>FY2023 AR p.124 / FY2024 AR p.147 (Note 3) / FY2025 AR p.148 (Note 3)</t>
        </is>
      </c>
    </row>
    <row r="8">
      <c r="B8" t="inlineStr">
        <is>
          <t>Amortisation of intangibles</t>
        </is>
      </c>
      <c r="C8" s="12" t="n">
        <v>3.9</v>
      </c>
      <c r="D8" s="12" t="n">
        <v>4.2</v>
      </c>
      <c r="E8" s="12" t="n">
        <v>4.7</v>
      </c>
      <c r="L8" t="inlineStr">
        <is>
          <t>FY2023 AR p.124 / FY2024 AR p.147 (Note 3) / FY2025 AR p.148 (Note 3)</t>
        </is>
      </c>
    </row>
    <row r="9">
      <c r="B9" t="inlineStr">
        <is>
          <t>Finance costs (incl. lease interest)</t>
        </is>
      </c>
      <c r="C9" s="12" t="n">
        <v>10.1</v>
      </c>
      <c r="D9" s="12" t="n">
        <v>13.6</v>
      </c>
      <c r="E9" s="12" t="n">
        <v>18.1</v>
      </c>
      <c r="L9" t="inlineStr">
        <is>
          <t>FY2024 AR p.128 (2023 comparative) / FY2024 AR p.128 / FY2025 AR p.128</t>
        </is>
      </c>
    </row>
    <row r="10">
      <c r="B10" t="inlineStr">
        <is>
          <t>Finance income</t>
        </is>
      </c>
      <c r="C10" s="12" t="n">
        <v>6.1</v>
      </c>
      <c r="D10" s="12" t="n">
        <v>8.1</v>
      </c>
      <c r="E10" s="12" t="n">
        <v>1.8</v>
      </c>
      <c r="L10" t="inlineStr">
        <is>
          <t>FY2024 AR p.128 (2023 comparative) / FY2024 AR p.128 / FY2025 AR p.128</t>
        </is>
      </c>
    </row>
    <row r="11">
      <c r="B11" t="inlineStr">
        <is>
          <t>Tax expense</t>
        </is>
      </c>
      <c r="C11" s="12" t="n">
        <v>45.8</v>
      </c>
      <c r="D11" s="12" t="n">
        <v>50.5</v>
      </c>
      <c r="E11" s="12" t="n">
        <v>45.2</v>
      </c>
      <c r="L11" t="inlineStr">
        <is>
          <t>FY2023 AR p.119 / FY2024 AR p.128 / FY2025 AR p.128</t>
        </is>
      </c>
    </row>
    <row r="12">
      <c r="B12" t="inlineStr">
        <is>
          <t>Gross profit</t>
        </is>
      </c>
      <c r="C12" s="4">
        <f>'Historicals'!C3-'Historicals'!C4</f>
        <v/>
      </c>
      <c r="D12" s="4">
        <f>'Historicals'!D3-'Historicals'!D4</f>
        <v/>
      </c>
      <c r="E12" s="4">
        <f>'Historicals'!E3-'Historicals'!E4</f>
        <v/>
      </c>
    </row>
    <row r="13">
      <c r="B13" t="inlineStr">
        <is>
          <t>EBITDA</t>
        </is>
      </c>
      <c r="C13" s="4">
        <f>'Historicals'!C12-'Historicals'!C5</f>
        <v/>
      </c>
      <c r="D13" s="4">
        <f>'Historicals'!D12-'Historicals'!D5</f>
        <v/>
      </c>
      <c r="E13" s="4">
        <f>'Historicals'!E12-'Historicals'!E5</f>
        <v/>
      </c>
    </row>
    <row r="14">
      <c r="B14" t="inlineStr">
        <is>
          <t>Total D&amp;A (incl. impairment)</t>
        </is>
      </c>
      <c r="C14" s="4">
        <f>'Historicals'!C6+'Historicals'!C7+'Historicals'!C8</f>
        <v/>
      </c>
      <c r="D14" s="4">
        <f>'Historicals'!D6+'Historicals'!D7+'Historicals'!D8</f>
        <v/>
      </c>
      <c r="E14" s="4">
        <f>'Historicals'!E6+'Historicals'!E7+'Historicals'!E8</f>
        <v/>
      </c>
    </row>
    <row r="15">
      <c r="B15" t="inlineStr">
        <is>
          <t>EBIT (operating profit)</t>
        </is>
      </c>
      <c r="C15" s="4">
        <f>'Historicals'!C13-'Historicals'!C14</f>
        <v/>
      </c>
      <c r="D15" s="4">
        <f>'Historicals'!D13-'Historicals'!D14</f>
        <v/>
      </c>
      <c r="E15" s="4">
        <f>'Historicals'!E13-'Historicals'!E14</f>
        <v/>
      </c>
    </row>
    <row r="16">
      <c r="B16" t="inlineStr">
        <is>
          <t>Profit before tax</t>
        </is>
      </c>
      <c r="C16" s="4">
        <f>'Historicals'!C15+'Historicals'!C10-'Historicals'!C9</f>
        <v/>
      </c>
      <c r="D16" s="4">
        <f>'Historicals'!D15+'Historicals'!D10-'Historicals'!D9</f>
        <v/>
      </c>
      <c r="E16" s="4">
        <f>'Historicals'!E15+'Historicals'!E10-'Historicals'!E9</f>
        <v/>
      </c>
    </row>
    <row r="17">
      <c r="B17" t="inlineStr">
        <is>
          <t>Net income</t>
        </is>
      </c>
      <c r="C17" s="4">
        <f>'Historicals'!C16-'Historicals'!C11</f>
        <v/>
      </c>
      <c r="D17" s="4">
        <f>'Historicals'!D16-'Historicals'!D11</f>
        <v/>
      </c>
      <c r="E17" s="4">
        <f>'Historicals'!E16-'Historicals'!E11</f>
        <v/>
      </c>
    </row>
    <row r="19">
      <c r="A19" s="1" t="inlineStr">
        <is>
          <t>Balance sheet</t>
        </is>
      </c>
    </row>
    <row r="20">
      <c r="B20" t="inlineStr">
        <is>
          <t>Property, plant and equipment</t>
        </is>
      </c>
      <c r="C20" s="12" t="n">
        <v>510.3</v>
      </c>
      <c r="D20" s="12" t="n">
        <v>664.7</v>
      </c>
      <c r="E20" s="12" t="n">
        <v>832.1</v>
      </c>
      <c r="L20" t="inlineStr">
        <is>
          <t>FY2023 AR p.120 / FY2024 AR p.129 / FY2025 AR p.129</t>
        </is>
      </c>
    </row>
    <row r="21">
      <c r="B21" t="inlineStr">
        <is>
          <t>Right-of-use assets</t>
        </is>
      </c>
      <c r="C21" s="12" t="n">
        <v>296.6</v>
      </c>
      <c r="D21" s="12" t="n">
        <v>387.2</v>
      </c>
      <c r="E21" s="12" t="n">
        <v>413</v>
      </c>
      <c r="L21" t="inlineStr">
        <is>
          <t>FY2023 AR p.120 / FY2024 AR p.129 / FY2025 AR p.129</t>
        </is>
      </c>
    </row>
    <row r="22">
      <c r="B22" t="inlineStr">
        <is>
          <t>Intangible assets</t>
        </is>
      </c>
      <c r="C22" s="12" t="n">
        <v>18.3</v>
      </c>
      <c r="D22" s="12" t="n">
        <v>24.9</v>
      </c>
      <c r="E22" s="12" t="n">
        <v>43</v>
      </c>
      <c r="L22" t="inlineStr">
        <is>
          <t>FY2023 AR p.120 / FY2024 AR p.129 / FY2025 AR p.129</t>
        </is>
      </c>
    </row>
    <row r="23">
      <c r="B23" t="inlineStr">
        <is>
          <t>Inventories</t>
        </is>
      </c>
      <c r="C23" s="12" t="n">
        <v>48.8</v>
      </c>
      <c r="D23" s="12" t="n">
        <v>55.2</v>
      </c>
      <c r="E23" s="12" t="n">
        <v>55.7</v>
      </c>
      <c r="L23" t="inlineStr">
        <is>
          <t>FY2023 AR p.120 / FY2024 AR p.129 / FY2025 AR p.129</t>
        </is>
      </c>
    </row>
    <row r="24">
      <c r="B24" t="inlineStr">
        <is>
          <t>Trade and other receivables</t>
        </is>
      </c>
      <c r="C24" s="12" t="n">
        <v>53.8</v>
      </c>
      <c r="D24" s="12" t="n">
        <v>62.4</v>
      </c>
      <c r="E24" s="12" t="n">
        <v>69.40000000000001</v>
      </c>
      <c r="L24" t="inlineStr">
        <is>
          <t>FY2023 AR p.120 / FY2024 AR p.129 / FY2025 AR p.129</t>
        </is>
      </c>
    </row>
    <row r="25">
      <c r="B25" t="inlineStr">
        <is>
          <t>Cash and cash equivalents</t>
        </is>
      </c>
      <c r="C25" s="12" t="n">
        <v>195.3</v>
      </c>
      <c r="D25" s="12" t="n">
        <v>125.3</v>
      </c>
      <c r="E25" s="12" t="n">
        <v>70.8</v>
      </c>
      <c r="L25" t="inlineStr">
        <is>
          <t>FY2023 AR p.120 / FY2024 AR p.129 / FY2025 AR p.129</t>
        </is>
      </c>
    </row>
    <row r="26">
      <c r="B26" t="inlineStr">
        <is>
          <t>Other assets</t>
        </is>
      </c>
      <c r="C26" s="12" t="n">
        <v>6.6</v>
      </c>
      <c r="D26" s="12" t="n">
        <v>0</v>
      </c>
      <c r="E26" s="12" t="n">
        <v>0</v>
      </c>
      <c r="L26" t="inlineStr">
        <is>
          <t>FY2023 AR p.120 / FY2024 AR p.129 / FY2025 AR p.129</t>
        </is>
      </c>
    </row>
    <row r="27">
      <c r="B27" t="inlineStr">
        <is>
          <t>Total assets</t>
        </is>
      </c>
      <c r="C27" s="4">
        <f>'Historicals'!C20+'Historicals'!C21+'Historicals'!C22+'Historicals'!C23+'Historicals'!C24+'Historicals'!C25+'Historicals'!C26</f>
        <v/>
      </c>
      <c r="D27" s="4">
        <f>'Historicals'!D20+'Historicals'!D21+'Historicals'!D22+'Historicals'!D23+'Historicals'!D24+'Historicals'!D25+'Historicals'!D26</f>
        <v/>
      </c>
      <c r="E27" s="4">
        <f>'Historicals'!E20+'Historicals'!E21+'Historicals'!E22+'Historicals'!E23+'Historicals'!E24+'Historicals'!E25+'Historicals'!E26</f>
        <v/>
      </c>
    </row>
    <row r="29">
      <c r="B29" t="inlineStr">
        <is>
          <t>Trade and other payables</t>
        </is>
      </c>
      <c r="C29" s="12" t="n">
        <v>211.1</v>
      </c>
      <c r="D29" s="12" t="n">
        <v>243.9</v>
      </c>
      <c r="E29" s="12" t="n">
        <v>272.8</v>
      </c>
      <c r="L29" t="inlineStr">
        <is>
          <t>FY2023 AR p.120 / FY2024 AR p.129 / FY2025 AR p.129</t>
        </is>
      </c>
    </row>
    <row r="30">
      <c r="B30" t="inlineStr">
        <is>
          <t>Lease liabilities</t>
        </is>
      </c>
      <c r="C30" s="12" t="n">
        <v>319.6</v>
      </c>
      <c r="D30" s="12" t="n">
        <v>415.1</v>
      </c>
      <c r="E30" s="12" t="n">
        <v>449.8</v>
      </c>
      <c r="L30" t="inlineStr">
        <is>
          <t>FY2023 AR p.120 / FY2024 AR p.129 / FY2025 AR p.129</t>
        </is>
      </c>
    </row>
    <row r="31">
      <c r="B31" t="inlineStr">
        <is>
          <t>Borrowings (RCF drawn)</t>
        </is>
      </c>
      <c r="C31" s="12" t="n">
        <v>0</v>
      </c>
      <c r="D31" s="12" t="n">
        <v>0</v>
      </c>
      <c r="E31" s="12" t="n">
        <v>25</v>
      </c>
      <c r="L31" t="inlineStr">
        <is>
          <t>FY2023 AR p.120 / FY2024 AR p.129 / FY2025 AR p.129</t>
        </is>
      </c>
    </row>
    <row r="32">
      <c r="B32" t="inlineStr">
        <is>
          <t>Other liabilities</t>
        </is>
      </c>
      <c r="C32" s="12" t="n">
        <v>68.09999999999999</v>
      </c>
      <c r="D32" s="12" t="n">
        <v>90.2</v>
      </c>
      <c r="E32" s="12" t="n">
        <v>111.2</v>
      </c>
      <c r="L32" t="inlineStr">
        <is>
          <t>FY2023 AR p.120 / FY2024 AR p.129 / FY2025 AR p.129</t>
        </is>
      </c>
    </row>
    <row r="33">
      <c r="B33" t="inlineStr">
        <is>
          <t>Total equity</t>
        </is>
      </c>
      <c r="C33" s="12" t="n">
        <v>530.9</v>
      </c>
      <c r="D33" s="12" t="n">
        <v>570.5</v>
      </c>
      <c r="E33" s="12" t="n">
        <v>625.2</v>
      </c>
      <c r="L33" t="inlineStr">
        <is>
          <t>FY2023 AR p.120 / FY2024 AR p.129 / FY2025 AR p.129</t>
        </is>
      </c>
    </row>
    <row r="34">
      <c r="B34" t="inlineStr">
        <is>
          <t>Total liabilities and equity</t>
        </is>
      </c>
      <c r="C34" s="4">
        <f>'Historicals'!C29+'Historicals'!C30+'Historicals'!C31+'Historicals'!C32+'Historicals'!C33</f>
        <v/>
      </c>
      <c r="D34" s="4">
        <f>'Historicals'!D29+'Historicals'!D30+'Historicals'!D31+'Historicals'!D32+'Historicals'!D33</f>
        <v/>
      </c>
      <c r="E34" s="4">
        <f>'Historicals'!E29+'Historicals'!E30+'Historicals'!E31+'Historicals'!E32+'Historicals'!E33</f>
        <v/>
      </c>
    </row>
    <row r="35">
      <c r="B35" t="inlineStr">
        <is>
          <t>Net working capital</t>
        </is>
      </c>
      <c r="C35" s="4">
        <f>'Historicals'!C23+'Historicals'!C24-'Historicals'!C29</f>
        <v/>
      </c>
      <c r="D35" s="4">
        <f>'Historicals'!D23+'Historicals'!D24-'Historicals'!D29</f>
        <v/>
      </c>
      <c r="E35" s="4">
        <f>'Historicals'!E23+'Historicals'!E24-'Historicals'!E29</f>
        <v/>
      </c>
    </row>
    <row r="37">
      <c r="A37" s="1" t="inlineStr">
        <is>
          <t>Cash flow</t>
        </is>
      </c>
    </row>
    <row r="38">
      <c r="B38" t="inlineStr">
        <is>
          <t>Capital expenditure (total cash, PP&amp;E + intangibles)</t>
        </is>
      </c>
      <c r="C38" s="12" t="n">
        <v>198.1</v>
      </c>
      <c r="D38" s="12" t="n">
        <v>240.9</v>
      </c>
      <c r="E38" s="12" t="n">
        <v>285.4</v>
      </c>
      <c r="L38" t="inlineStr">
        <is>
          <t>FY2023 AR p.123 / FY2024 AR p.132 / FY2025 AR p.132</t>
        </is>
      </c>
    </row>
    <row r="39">
      <c r="B39" t="inlineStr">
        <is>
          <t>Repayment of lease principal</t>
        </is>
      </c>
      <c r="C39" s="12" t="n">
        <v>53.7</v>
      </c>
      <c r="D39" s="12" t="n">
        <v>56.7</v>
      </c>
      <c r="E39" s="12" t="n">
        <v>63.3</v>
      </c>
      <c r="L39" t="inlineStr">
        <is>
          <t>FY2023 AR p.123 / FY2024 AR p.132 / FY2025 AR p.132</t>
        </is>
      </c>
    </row>
    <row r="40">
      <c r="B40" t="inlineStr">
        <is>
          <t>New right-of-use asset additions</t>
        </is>
      </c>
      <c r="C40" s="12" t="n">
        <v>70.3</v>
      </c>
      <c r="D40" s="12" t="n">
        <v>143.8</v>
      </c>
      <c r="E40" s="12" t="n">
        <v>74.8</v>
      </c>
      <c r="L40" t="inlineStr">
        <is>
          <t>FY2023 AR p.144 (Note 11) / FY2024 AR p.153 (Note 11) / FY2025 AR p.154 (Note 11)</t>
        </is>
      </c>
    </row>
    <row r="41">
      <c r="B41" t="inlineStr">
        <is>
          <t>Dividends paid</t>
        </is>
      </c>
      <c r="C41" s="12" t="n">
        <v>60.8</v>
      </c>
      <c r="D41" s="12" t="n">
        <v>106.8</v>
      </c>
      <c r="E41" s="12" t="n">
        <v>70.3</v>
      </c>
      <c r="L41" t="inlineStr">
        <is>
          <t>FY2023 AR p.123 / FY2024 AR p.132 / FY2025 AR p.132</t>
        </is>
      </c>
    </row>
    <row r="43">
      <c r="A43" s="1" t="inlineStr">
        <is>
          <t>Share count</t>
        </is>
      </c>
    </row>
    <row r="44">
      <c r="B44" t="inlineStr">
        <is>
          <t>Weighted average shares in issue, diluted (m)</t>
        </is>
      </c>
      <c r="E44" s="11" t="n">
        <v>102.482895</v>
      </c>
      <c r="L44" t="inlineStr">
        <is>
          <t>FY2025 AR p.152 (Note 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Income statement — forecast, £m</t>
        </is>
      </c>
    </row>
    <row r="2">
      <c r="F2" s="6">
        <f>'Assumptions'!F$2</f>
        <v/>
      </c>
      <c r="G2" s="6">
        <f>'Assumptions'!G$2</f>
        <v/>
      </c>
      <c r="H2" s="6">
        <f>'Assumptions'!H$2</f>
        <v/>
      </c>
      <c r="I2" s="6">
        <f>'Assumptions'!I$2</f>
        <v/>
      </c>
      <c r="J2" s="6">
        <f>'Assumptions'!J$2</f>
        <v/>
      </c>
    </row>
    <row r="3">
      <c r="B3" t="inlineStr">
        <is>
          <t>Revenue</t>
        </is>
      </c>
      <c r="F3" s="4">
        <f>'Historicals'!E3*(1+'Assumptions'!F26)</f>
        <v/>
      </c>
      <c r="G3" s="4">
        <f>'IS'!F3*(1+'Assumptions'!G26)</f>
        <v/>
      </c>
      <c r="H3" s="4">
        <f>'IS'!G3*(1+'Assumptions'!H26)</f>
        <v/>
      </c>
      <c r="I3" s="4">
        <f>'IS'!H3*(1+'Assumptions'!I26)</f>
        <v/>
      </c>
      <c r="J3" s="4">
        <f>'IS'!I3*(1+'Assumptions'!J26)</f>
        <v/>
      </c>
    </row>
    <row r="4">
      <c r="B4" t="inlineStr">
        <is>
          <t>Gross profit</t>
        </is>
      </c>
      <c r="F4" s="4">
        <f>'IS'!F3*'Assumptions'!F27</f>
        <v/>
      </c>
      <c r="G4" s="4">
        <f>'IS'!G3*'Assumptions'!G27</f>
        <v/>
      </c>
      <c r="H4" s="4">
        <f>'IS'!H3*'Assumptions'!H27</f>
        <v/>
      </c>
      <c r="I4" s="4">
        <f>'IS'!I3*'Assumptions'!I27</f>
        <v/>
      </c>
      <c r="J4" s="4">
        <f>'IS'!J3*'Assumptions'!J27</f>
        <v/>
      </c>
    </row>
    <row r="5">
      <c r="B5" t="inlineStr">
        <is>
          <t>Cost of sales (memo: revenue less gross profit)</t>
        </is>
      </c>
      <c r="F5" s="4">
        <f>'IS'!F3-'IS'!F4</f>
        <v/>
      </c>
      <c r="G5" s="4">
        <f>'IS'!G3-'IS'!G4</f>
        <v/>
      </c>
      <c r="H5" s="4">
        <f>'IS'!H3-'IS'!H4</f>
        <v/>
      </c>
      <c r="I5" s="4">
        <f>'IS'!I3-'IS'!I4</f>
        <v/>
      </c>
      <c r="J5" s="4">
        <f>'IS'!J3-'IS'!J4</f>
        <v/>
      </c>
    </row>
    <row r="6">
      <c r="B6" t="inlineStr">
        <is>
          <t>Operating costs (excl. D&amp;A)</t>
        </is>
      </c>
      <c r="F6" s="4">
        <f>'IS'!F3*'Assumptions'!F28</f>
        <v/>
      </c>
      <c r="G6" s="4">
        <f>'IS'!G3*'Assumptions'!G28</f>
        <v/>
      </c>
      <c r="H6" s="4">
        <f>'IS'!H3*'Assumptions'!H28</f>
        <v/>
      </c>
      <c r="I6" s="4">
        <f>'IS'!I3*'Assumptions'!I28</f>
        <v/>
      </c>
      <c r="J6" s="4">
        <f>'IS'!J3*'Assumptions'!J28</f>
        <v/>
      </c>
    </row>
    <row r="7">
      <c r="B7" t="inlineStr">
        <is>
          <t>EBITDA</t>
        </is>
      </c>
      <c r="F7" s="4">
        <f>'IS'!F4-'IS'!F6</f>
        <v/>
      </c>
      <c r="G7" s="4">
        <f>'IS'!G4-'IS'!G6</f>
        <v/>
      </c>
      <c r="H7" s="4">
        <f>'IS'!H4-'IS'!H6</f>
        <v/>
      </c>
      <c r="I7" s="4">
        <f>'IS'!I4-'IS'!I6</f>
        <v/>
      </c>
      <c r="J7" s="4">
        <f>'IS'!J4-'IS'!J6</f>
        <v/>
      </c>
    </row>
    <row r="8">
      <c r="B8" t="inlineStr">
        <is>
          <t>Depreciation of PP&amp;E</t>
        </is>
      </c>
      <c r="F8" s="14">
        <f>'Schedules'!F13</f>
        <v/>
      </c>
      <c r="G8" s="14">
        <f>'Schedules'!G13</f>
        <v/>
      </c>
      <c r="H8" s="14">
        <f>'Schedules'!H13</f>
        <v/>
      </c>
      <c r="I8" s="14">
        <f>'Schedules'!I13</f>
        <v/>
      </c>
      <c r="J8" s="14">
        <f>'Schedules'!J13</f>
        <v/>
      </c>
    </row>
    <row r="9">
      <c r="B9" t="inlineStr">
        <is>
          <t>Depreciation of ROU assets</t>
        </is>
      </c>
      <c r="F9" s="14">
        <f>'Schedules'!F26</f>
        <v/>
      </c>
      <c r="G9" s="14">
        <f>'Schedules'!G26</f>
        <v/>
      </c>
      <c r="H9" s="14">
        <f>'Schedules'!H26</f>
        <v/>
      </c>
      <c r="I9" s="14">
        <f>'Schedules'!I26</f>
        <v/>
      </c>
      <c r="J9" s="14">
        <f>'Schedules'!J26</f>
        <v/>
      </c>
    </row>
    <row r="10">
      <c r="B10" t="inlineStr">
        <is>
          <t>Amortisation</t>
        </is>
      </c>
      <c r="F10" s="14">
        <f>'Schedules'!F19</f>
        <v/>
      </c>
      <c r="G10" s="14">
        <f>'Schedules'!G19</f>
        <v/>
      </c>
      <c r="H10" s="14">
        <f>'Schedules'!H19</f>
        <v/>
      </c>
      <c r="I10" s="14">
        <f>'Schedules'!I19</f>
        <v/>
      </c>
      <c r="J10" s="14">
        <f>'Schedules'!J19</f>
        <v/>
      </c>
    </row>
    <row r="11">
      <c r="B11" t="inlineStr">
        <is>
          <t>Total depreciation and amortisation</t>
        </is>
      </c>
      <c r="F11" s="4">
        <f>'IS'!F8+'IS'!F9+'IS'!F10</f>
        <v/>
      </c>
      <c r="G11" s="4">
        <f>'IS'!G8+'IS'!G9+'IS'!G10</f>
        <v/>
      </c>
      <c r="H11" s="4">
        <f>'IS'!H8+'IS'!H9+'IS'!H10</f>
        <v/>
      </c>
      <c r="I11" s="4">
        <f>'IS'!I8+'IS'!I9+'IS'!I10</f>
        <v/>
      </c>
      <c r="J11" s="4">
        <f>'IS'!J8+'IS'!J9+'IS'!J10</f>
        <v/>
      </c>
    </row>
    <row r="12">
      <c r="B12" t="inlineStr">
        <is>
          <t>EBIT</t>
        </is>
      </c>
      <c r="F12" s="4">
        <f>'IS'!F7-'IS'!F11</f>
        <v/>
      </c>
      <c r="G12" s="4">
        <f>'IS'!G7-'IS'!G11</f>
        <v/>
      </c>
      <c r="H12" s="4">
        <f>'IS'!H7-'IS'!H11</f>
        <v/>
      </c>
      <c r="I12" s="4">
        <f>'IS'!I7-'IS'!I11</f>
        <v/>
      </c>
      <c r="J12" s="4">
        <f>'IS'!J7-'IS'!J11</f>
        <v/>
      </c>
    </row>
    <row r="13">
      <c r="B13" t="inlineStr">
        <is>
          <t>Lease interest</t>
        </is>
      </c>
      <c r="F13" s="14">
        <f>'Schedules'!F29</f>
        <v/>
      </c>
      <c r="G13" s="14">
        <f>'Schedules'!G29</f>
        <v/>
      </c>
      <c r="H13" s="14">
        <f>'Schedules'!H29</f>
        <v/>
      </c>
      <c r="I13" s="14">
        <f>'Schedules'!I29</f>
        <v/>
      </c>
      <c r="J13" s="14">
        <f>'Schedules'!J29</f>
        <v/>
      </c>
    </row>
    <row r="14">
      <c r="B14" t="inlineStr">
        <is>
          <t>Interest on borrowings</t>
        </is>
      </c>
      <c r="F14" s="14">
        <f>'Schedules'!F43</f>
        <v/>
      </c>
      <c r="G14" s="14">
        <f>'Schedules'!G43</f>
        <v/>
      </c>
      <c r="H14" s="14">
        <f>'Schedules'!H43</f>
        <v/>
      </c>
      <c r="I14" s="14">
        <f>'Schedules'!I43</f>
        <v/>
      </c>
      <c r="J14" s="14">
        <f>'Schedules'!J43</f>
        <v/>
      </c>
    </row>
    <row r="15">
      <c r="B15" t="inlineStr">
        <is>
          <t>Profit before tax</t>
        </is>
      </c>
      <c r="F15" s="4">
        <f>'IS'!F12-'IS'!F13-'IS'!F14</f>
        <v/>
      </c>
      <c r="G15" s="4">
        <f>'IS'!G12-'IS'!G13-'IS'!G14</f>
        <v/>
      </c>
      <c r="H15" s="4">
        <f>'IS'!H12-'IS'!H13-'IS'!H14</f>
        <v/>
      </c>
      <c r="I15" s="4">
        <f>'IS'!I12-'IS'!I13-'IS'!I14</f>
        <v/>
      </c>
      <c r="J15" s="4">
        <f>'IS'!J12-'IS'!J13-'IS'!J14</f>
        <v/>
      </c>
    </row>
    <row r="16">
      <c r="B16" t="inlineStr">
        <is>
          <t>Tax charge (nil in a loss year)</t>
        </is>
      </c>
      <c r="F16" s="4">
        <f>MAX('IS'!F15,0)*'Assumptions'!$C$39</f>
        <v/>
      </c>
      <c r="G16" s="4">
        <f>MAX('IS'!G15,0)*'Assumptions'!$C$39</f>
        <v/>
      </c>
      <c r="H16" s="4">
        <f>MAX('IS'!H15,0)*'Assumptions'!$C$39</f>
        <v/>
      </c>
      <c r="I16" s="4">
        <f>MAX('IS'!I15,0)*'Assumptions'!$C$39</f>
        <v/>
      </c>
      <c r="J16" s="4">
        <f>MAX('IS'!J15,0)*'Assumptions'!$C$39</f>
        <v/>
      </c>
    </row>
    <row r="17">
      <c r="B17" t="inlineStr">
        <is>
          <t>Net income</t>
        </is>
      </c>
      <c r="F17" s="4">
        <f>'IS'!F15-'IS'!F16</f>
        <v/>
      </c>
      <c r="G17" s="4">
        <f>'IS'!G15-'IS'!G16</f>
        <v/>
      </c>
      <c r="H17" s="4">
        <f>'IS'!H15-'IS'!H16</f>
        <v/>
      </c>
      <c r="I17" s="4">
        <f>'IS'!I15-'IS'!I16</f>
        <v/>
      </c>
      <c r="J17" s="4">
        <f>'IS'!J15-'IS'!J16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Balance sheet — forecast, £m</t>
        </is>
      </c>
    </row>
    <row r="2">
      <c r="F2" s="6">
        <f>'Assumptions'!F$2</f>
        <v/>
      </c>
      <c r="G2" s="6">
        <f>'Assumptions'!G$2</f>
        <v/>
      </c>
      <c r="H2" s="6">
        <f>'Assumptions'!H$2</f>
        <v/>
      </c>
      <c r="I2" s="6">
        <f>'Assumptions'!I$2</f>
        <v/>
      </c>
      <c r="J2" s="6">
        <f>'Assumptions'!J$2</f>
        <v/>
      </c>
    </row>
    <row r="3">
      <c r="B3" t="inlineStr">
        <is>
          <t>Property, plant and equipment</t>
        </is>
      </c>
      <c r="F3" s="14">
        <f>'Schedules'!F14</f>
        <v/>
      </c>
      <c r="G3" s="14">
        <f>'Schedules'!G14</f>
        <v/>
      </c>
      <c r="H3" s="14">
        <f>'Schedules'!H14</f>
        <v/>
      </c>
      <c r="I3" s="14">
        <f>'Schedules'!I14</f>
        <v/>
      </c>
      <c r="J3" s="14">
        <f>'Schedules'!J14</f>
        <v/>
      </c>
    </row>
    <row r="4">
      <c r="B4" t="inlineStr">
        <is>
          <t>Right-of-use assets</t>
        </is>
      </c>
      <c r="F4" s="14">
        <f>'Schedules'!F27</f>
        <v/>
      </c>
      <c r="G4" s="14">
        <f>'Schedules'!G27</f>
        <v/>
      </c>
      <c r="H4" s="14">
        <f>'Schedules'!H27</f>
        <v/>
      </c>
      <c r="I4" s="14">
        <f>'Schedules'!I27</f>
        <v/>
      </c>
      <c r="J4" s="14">
        <f>'Schedules'!J27</f>
        <v/>
      </c>
    </row>
    <row r="5">
      <c r="B5" t="inlineStr">
        <is>
          <t>Intangible assets</t>
        </is>
      </c>
      <c r="F5" s="14">
        <f>'Schedules'!F20</f>
        <v/>
      </c>
      <c r="G5" s="14">
        <f>'Schedules'!G20</f>
        <v/>
      </c>
      <c r="H5" s="14">
        <f>'Schedules'!H20</f>
        <v/>
      </c>
      <c r="I5" s="14">
        <f>'Schedules'!I20</f>
        <v/>
      </c>
      <c r="J5" s="14">
        <f>'Schedules'!J20</f>
        <v/>
      </c>
    </row>
    <row r="6">
      <c r="B6" t="inlineStr">
        <is>
          <t>Inventories</t>
        </is>
      </c>
      <c r="F6" s="14">
        <f>'Schedules'!F3</f>
        <v/>
      </c>
      <c r="G6" s="14">
        <f>'Schedules'!G3</f>
        <v/>
      </c>
      <c r="H6" s="14">
        <f>'Schedules'!H3</f>
        <v/>
      </c>
      <c r="I6" s="14">
        <f>'Schedules'!I3</f>
        <v/>
      </c>
      <c r="J6" s="14">
        <f>'Schedules'!J3</f>
        <v/>
      </c>
    </row>
    <row r="7">
      <c r="B7" t="inlineStr">
        <is>
          <t>Trade and other receivables</t>
        </is>
      </c>
      <c r="F7" s="14">
        <f>'Schedules'!F4</f>
        <v/>
      </c>
      <c r="G7" s="14">
        <f>'Schedules'!G4</f>
        <v/>
      </c>
      <c r="H7" s="14">
        <f>'Schedules'!H4</f>
        <v/>
      </c>
      <c r="I7" s="14">
        <f>'Schedules'!I4</f>
        <v/>
      </c>
      <c r="J7" s="14">
        <f>'Schedules'!J4</f>
        <v/>
      </c>
    </row>
    <row r="8">
      <c r="B8" t="inlineStr">
        <is>
          <t>Cash and cash equivalents</t>
        </is>
      </c>
      <c r="F8" s="14">
        <f>'CF'!F20</f>
        <v/>
      </c>
      <c r="G8" s="14">
        <f>'CF'!G20</f>
        <v/>
      </c>
      <c r="H8" s="14">
        <f>'CF'!H20</f>
        <v/>
      </c>
      <c r="I8" s="14">
        <f>'CF'!I20</f>
        <v/>
      </c>
      <c r="J8" s="14">
        <f>'CF'!J20</f>
        <v/>
      </c>
    </row>
    <row r="9">
      <c r="B9" t="inlineStr">
        <is>
          <t>Other assets (held flat)</t>
        </is>
      </c>
      <c r="F9" s="14">
        <f>'Historicals'!E26</f>
        <v/>
      </c>
      <c r="G9" s="14">
        <f>'Historicals'!E26</f>
        <v/>
      </c>
      <c r="H9" s="14">
        <f>'Historicals'!E26</f>
        <v/>
      </c>
      <c r="I9" s="14">
        <f>'Historicals'!E26</f>
        <v/>
      </c>
      <c r="J9" s="14">
        <f>'Historicals'!E26</f>
        <v/>
      </c>
    </row>
    <row r="10">
      <c r="B10" t="inlineStr">
        <is>
          <t>Total assets</t>
        </is>
      </c>
      <c r="F10" s="4">
        <f>'BS'!F3+'BS'!F4+'BS'!F5+'BS'!F6+'BS'!F7+'BS'!F8+'BS'!F9</f>
        <v/>
      </c>
      <c r="G10" s="4">
        <f>'BS'!G3+'BS'!G4+'BS'!G5+'BS'!G6+'BS'!G7+'BS'!G8+'BS'!G9</f>
        <v/>
      </c>
      <c r="H10" s="4">
        <f>'BS'!H3+'BS'!H4+'BS'!H5+'BS'!H6+'BS'!H7+'BS'!H8+'BS'!H9</f>
        <v/>
      </c>
      <c r="I10" s="4">
        <f>'BS'!I3+'BS'!I4+'BS'!I5+'BS'!I6+'BS'!I7+'BS'!I8+'BS'!I9</f>
        <v/>
      </c>
      <c r="J10" s="4">
        <f>'BS'!J3+'BS'!J4+'BS'!J5+'BS'!J6+'BS'!J7+'BS'!J8+'BS'!J9</f>
        <v/>
      </c>
    </row>
    <row r="12">
      <c r="A12" s="1" t="inlineStr">
        <is>
          <t>Liabilities and equity</t>
        </is>
      </c>
    </row>
    <row r="13">
      <c r="B13" t="inlineStr">
        <is>
          <t>Trade and other payables</t>
        </is>
      </c>
      <c r="F13" s="14">
        <f>'Schedules'!F5</f>
        <v/>
      </c>
      <c r="G13" s="14">
        <f>'Schedules'!G5</f>
        <v/>
      </c>
      <c r="H13" s="14">
        <f>'Schedules'!H5</f>
        <v/>
      </c>
      <c r="I13" s="14">
        <f>'Schedules'!I5</f>
        <v/>
      </c>
      <c r="J13" s="14">
        <f>'Schedules'!J5</f>
        <v/>
      </c>
    </row>
    <row r="14">
      <c r="B14" t="inlineStr">
        <is>
          <t>Lease liabilities</t>
        </is>
      </c>
      <c r="F14" s="14">
        <f>'Schedules'!F31</f>
        <v/>
      </c>
      <c r="G14" s="14">
        <f>'Schedules'!G31</f>
        <v/>
      </c>
      <c r="H14" s="14">
        <f>'Schedules'!H31</f>
        <v/>
      </c>
      <c r="I14" s="14">
        <f>'Schedules'!I31</f>
        <v/>
      </c>
      <c r="J14" s="14">
        <f>'Schedules'!J31</f>
        <v/>
      </c>
    </row>
    <row r="15">
      <c r="B15" t="inlineStr">
        <is>
          <t>Borrowings</t>
        </is>
      </c>
      <c r="F15" s="14">
        <f>'Schedules'!F47</f>
        <v/>
      </c>
      <c r="G15" s="14">
        <f>'Schedules'!G47</f>
        <v/>
      </c>
      <c r="H15" s="14">
        <f>'Schedules'!H47</f>
        <v/>
      </c>
      <c r="I15" s="14">
        <f>'Schedules'!I47</f>
        <v/>
      </c>
      <c r="J15" s="14">
        <f>'Schedules'!J47</f>
        <v/>
      </c>
    </row>
    <row r="16">
      <c r="B16" t="inlineStr">
        <is>
          <t>Other liabilities (held flat)</t>
        </is>
      </c>
      <c r="F16" s="14">
        <f>'Historicals'!E32</f>
        <v/>
      </c>
      <c r="G16" s="14">
        <f>'Historicals'!E32</f>
        <v/>
      </c>
      <c r="H16" s="14">
        <f>'Historicals'!E32</f>
        <v/>
      </c>
      <c r="I16" s="14">
        <f>'Historicals'!E32</f>
        <v/>
      </c>
      <c r="J16" s="14">
        <f>'Historicals'!E32</f>
        <v/>
      </c>
    </row>
    <row r="17">
      <c r="B17" t="inlineStr">
        <is>
          <t>Total equity</t>
        </is>
      </c>
      <c r="F17" s="14">
        <f>'Schedules'!F36</f>
        <v/>
      </c>
      <c r="G17" s="14">
        <f>'Schedules'!G36</f>
        <v/>
      </c>
      <c r="H17" s="14">
        <f>'Schedules'!H36</f>
        <v/>
      </c>
      <c r="I17" s="14">
        <f>'Schedules'!I36</f>
        <v/>
      </c>
      <c r="J17" s="14">
        <f>'Schedules'!J36</f>
        <v/>
      </c>
    </row>
    <row r="18">
      <c r="B18" t="inlineStr">
        <is>
          <t>Total liabilities and equity</t>
        </is>
      </c>
      <c r="F18" s="4">
        <f>'BS'!F13+'BS'!F14+'BS'!F15+'BS'!F16+'BS'!F17</f>
        <v/>
      </c>
      <c r="G18" s="4">
        <f>'BS'!G13+'BS'!G14+'BS'!G15+'BS'!G16+'BS'!G17</f>
        <v/>
      </c>
      <c r="H18" s="4">
        <f>'BS'!H13+'BS'!H14+'BS'!H15+'BS'!H16+'BS'!H17</f>
        <v/>
      </c>
      <c r="I18" s="4">
        <f>'BS'!I13+'BS'!I14+'BS'!I15+'BS'!I16+'BS'!I17</f>
        <v/>
      </c>
      <c r="J18" s="4">
        <f>'BS'!J13+'BS'!J14+'BS'!J15+'BS'!J16+'BS'!J17</f>
        <v/>
      </c>
    </row>
    <row r="19">
      <c r="B19" t="inlineStr">
        <is>
          <t>Balance check (total assets less total claims — must be nil)</t>
        </is>
      </c>
      <c r="F19" s="4">
        <f>'BS'!F10-'BS'!F18</f>
        <v/>
      </c>
      <c r="G19" s="4">
        <f>'BS'!G10-'BS'!G18</f>
        <v/>
      </c>
      <c r="H19" s="4">
        <f>'BS'!H10-'BS'!H18</f>
        <v/>
      </c>
      <c r="I19" s="4">
        <f>'BS'!I10-'BS'!I18</f>
        <v/>
      </c>
      <c r="J19" s="4">
        <f>'BS'!J10-'BS'!J18</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Cash flow statement — forecast, £m</t>
        </is>
      </c>
    </row>
    <row r="2">
      <c r="F2" s="6">
        <f>'Assumptions'!F$2</f>
        <v/>
      </c>
      <c r="G2" s="6">
        <f>'Assumptions'!G$2</f>
        <v/>
      </c>
      <c r="H2" s="6">
        <f>'Assumptions'!H$2</f>
        <v/>
      </c>
      <c r="I2" s="6">
        <f>'Assumptions'!I$2</f>
        <v/>
      </c>
      <c r="J2" s="6">
        <f>'Assumptions'!J$2</f>
        <v/>
      </c>
    </row>
    <row r="3">
      <c r="B3" t="inlineStr">
        <is>
          <t>EBITDA</t>
        </is>
      </c>
      <c r="F3" s="14">
        <f>'IS'!F7</f>
        <v/>
      </c>
      <c r="G3" s="14">
        <f>'IS'!G7</f>
        <v/>
      </c>
      <c r="H3" s="14">
        <f>'IS'!H7</f>
        <v/>
      </c>
      <c r="I3" s="14">
        <f>'IS'!I7</f>
        <v/>
      </c>
      <c r="J3" s="14">
        <f>'IS'!J7</f>
        <v/>
      </c>
    </row>
    <row r="4">
      <c r="B4" t="inlineStr">
        <is>
          <t>Increase in working capital (outflow when positive)</t>
        </is>
      </c>
      <c r="F4" s="14">
        <f>'Schedules'!F8</f>
        <v/>
      </c>
      <c r="G4" s="14">
        <f>'Schedules'!G8</f>
        <v/>
      </c>
      <c r="H4" s="14">
        <f>'Schedules'!H8</f>
        <v/>
      </c>
      <c r="I4" s="14">
        <f>'Schedules'!I8</f>
        <v/>
      </c>
      <c r="J4" s="14">
        <f>'Schedules'!J8</f>
        <v/>
      </c>
    </row>
    <row r="5">
      <c r="B5" t="inlineStr">
        <is>
          <t>Tax paid</t>
        </is>
      </c>
      <c r="F5" s="14">
        <f>'IS'!F16</f>
        <v/>
      </c>
      <c r="G5" s="14">
        <f>'IS'!G16</f>
        <v/>
      </c>
      <c r="H5" s="14">
        <f>'IS'!H16</f>
        <v/>
      </c>
      <c r="I5" s="14">
        <f>'IS'!I16</f>
        <v/>
      </c>
      <c r="J5" s="14">
        <f>'IS'!J16</f>
        <v/>
      </c>
    </row>
    <row r="6">
      <c r="B6" t="inlineStr">
        <is>
          <t>Cash from operations</t>
        </is>
      </c>
      <c r="F6" s="4">
        <f>'CF'!F3-'CF'!F4-'CF'!F5</f>
        <v/>
      </c>
      <c r="G6" s="4">
        <f>'CF'!G3-'CF'!G4-'CF'!G5</f>
        <v/>
      </c>
      <c r="H6" s="4">
        <f>'CF'!H3-'CF'!H4-'CF'!H5</f>
        <v/>
      </c>
      <c r="I6" s="4">
        <f>'CF'!I3-'CF'!I4-'CF'!I5</f>
        <v/>
      </c>
      <c r="J6" s="4">
        <f>'CF'!J3-'CF'!J4-'CF'!J5</f>
        <v/>
      </c>
    </row>
    <row r="8">
      <c r="A8" s="1" t="inlineStr">
        <is>
          <t>Investing and financing</t>
        </is>
      </c>
    </row>
    <row r="9">
      <c r="B9" t="inlineStr">
        <is>
          <t>Capital expenditure (total)</t>
        </is>
      </c>
      <c r="F9" s="14">
        <f>'Schedules'!F21</f>
        <v/>
      </c>
      <c r="G9" s="14">
        <f>'Schedules'!G21</f>
        <v/>
      </c>
      <c r="H9" s="14">
        <f>'Schedules'!H21</f>
        <v/>
      </c>
      <c r="I9" s="14">
        <f>'Schedules'!I21</f>
        <v/>
      </c>
      <c r="J9" s="14">
        <f>'Schedules'!J21</f>
        <v/>
      </c>
    </row>
    <row r="10">
      <c r="B10" t="inlineStr">
        <is>
          <t xml:space="preserve">  of which PP&amp;E (memo)</t>
        </is>
      </c>
      <c r="F10" s="14">
        <f>'Schedules'!F12</f>
        <v/>
      </c>
      <c r="G10" s="14">
        <f>'Schedules'!G12</f>
        <v/>
      </c>
      <c r="H10" s="14">
        <f>'Schedules'!H12</f>
        <v/>
      </c>
      <c r="I10" s="14">
        <f>'Schedules'!I12</f>
        <v/>
      </c>
      <c r="J10" s="14">
        <f>'Schedules'!J12</f>
        <v/>
      </c>
    </row>
    <row r="11">
      <c r="B11" t="inlineStr">
        <is>
          <t xml:space="preserve">  of which intangible (memo)</t>
        </is>
      </c>
      <c r="F11" s="14">
        <f>'Schedules'!F18</f>
        <v/>
      </c>
      <c r="G11" s="14">
        <f>'Schedules'!G18</f>
        <v/>
      </c>
      <c r="H11" s="14">
        <f>'Schedules'!H18</f>
        <v/>
      </c>
      <c r="I11" s="14">
        <f>'Schedules'!I18</f>
        <v/>
      </c>
      <c r="J11" s="14">
        <f>'Schedules'!J18</f>
        <v/>
      </c>
    </row>
    <row r="12">
      <c r="B12" t="inlineStr">
        <is>
          <t>Lease interest paid</t>
        </is>
      </c>
      <c r="F12" s="14">
        <f>'Schedules'!F29</f>
        <v/>
      </c>
      <c r="G12" s="14">
        <f>'Schedules'!G29</f>
        <v/>
      </c>
      <c r="H12" s="14">
        <f>'Schedules'!H29</f>
        <v/>
      </c>
      <c r="I12" s="14">
        <f>'Schedules'!I29</f>
        <v/>
      </c>
      <c r="J12" s="14">
        <f>'Schedules'!J29</f>
        <v/>
      </c>
    </row>
    <row r="13">
      <c r="B13" t="inlineStr">
        <is>
          <t>Lease principal repaid</t>
        </is>
      </c>
      <c r="F13" s="14">
        <f>'Schedules'!F30</f>
        <v/>
      </c>
      <c r="G13" s="14">
        <f>'Schedules'!G30</f>
        <v/>
      </c>
      <c r="H13" s="14">
        <f>'Schedules'!H30</f>
        <v/>
      </c>
      <c r="I13" s="14">
        <f>'Schedules'!I30</f>
        <v/>
      </c>
      <c r="J13" s="14">
        <f>'Schedules'!J30</f>
        <v/>
      </c>
    </row>
    <row r="14">
      <c r="B14" t="inlineStr">
        <is>
          <t>Interest paid on borrowings</t>
        </is>
      </c>
      <c r="F14" s="14">
        <f>'Schedules'!F43</f>
        <v/>
      </c>
      <c r="G14" s="14">
        <f>'Schedules'!G43</f>
        <v/>
      </c>
      <c r="H14" s="14">
        <f>'Schedules'!H43</f>
        <v/>
      </c>
      <c r="I14" s="14">
        <f>'Schedules'!I43</f>
        <v/>
      </c>
      <c r="J14" s="14">
        <f>'Schedules'!J43</f>
        <v/>
      </c>
    </row>
    <row r="15">
      <c r="B15" t="inlineStr">
        <is>
          <t>Repayment of borrowings</t>
        </is>
      </c>
      <c r="F15" s="14">
        <f>'Schedules'!F45</f>
        <v/>
      </c>
      <c r="G15" s="14">
        <f>'Schedules'!G45</f>
        <v/>
      </c>
      <c r="H15" s="14">
        <f>'Schedules'!H45</f>
        <v/>
      </c>
      <c r="I15" s="14">
        <f>'Schedules'!I45</f>
        <v/>
      </c>
      <c r="J15" s="14">
        <f>'Schedules'!J45</f>
        <v/>
      </c>
    </row>
    <row r="16">
      <c r="B16" t="inlineStr">
        <is>
          <t>Revolver draw (inflow)</t>
        </is>
      </c>
      <c r="F16" s="14">
        <f>'Schedules'!F46</f>
        <v/>
      </c>
      <c r="G16" s="14">
        <f>'Schedules'!G46</f>
        <v/>
      </c>
      <c r="H16" s="14">
        <f>'Schedules'!H46</f>
        <v/>
      </c>
      <c r="I16" s="14">
        <f>'Schedules'!I46</f>
        <v/>
      </c>
      <c r="J16" s="14">
        <f>'Schedules'!J46</f>
        <v/>
      </c>
    </row>
    <row r="17">
      <c r="B17" t="inlineStr">
        <is>
          <t>Dividends paid</t>
        </is>
      </c>
      <c r="F17" s="14">
        <f>'Schedules'!F34</f>
        <v/>
      </c>
      <c r="G17" s="14">
        <f>'Schedules'!G34</f>
        <v/>
      </c>
      <c r="H17" s="14">
        <f>'Schedules'!H34</f>
        <v/>
      </c>
      <c r="I17" s="14">
        <f>'Schedules'!I34</f>
        <v/>
      </c>
      <c r="J17" s="14">
        <f>'Schedules'!J34</f>
        <v/>
      </c>
    </row>
    <row r="18">
      <c r="B18" t="inlineStr">
        <is>
          <t>Net change in cash</t>
        </is>
      </c>
      <c r="F18" s="4">
        <f>'CF'!F6-'CF'!F9-'CF'!F12-'CF'!F13-'CF'!F14-'CF'!F15+'CF'!F16-'CF'!F17</f>
        <v/>
      </c>
      <c r="G18" s="4">
        <f>'CF'!G6-'CF'!G9-'CF'!G12-'CF'!G13-'CF'!G14-'CF'!G15+'CF'!G16-'CF'!G17</f>
        <v/>
      </c>
      <c r="H18" s="4">
        <f>'CF'!H6-'CF'!H9-'CF'!H12-'CF'!H13-'CF'!H14-'CF'!H15+'CF'!H16-'CF'!H17</f>
        <v/>
      </c>
      <c r="I18" s="4">
        <f>'CF'!I6-'CF'!I9-'CF'!I12-'CF'!I13-'CF'!I14-'CF'!I15+'CF'!I16-'CF'!I17</f>
        <v/>
      </c>
      <c r="J18" s="4">
        <f>'CF'!J6-'CF'!J9-'CF'!J12-'CF'!J13-'CF'!J14-'CF'!J15+'CF'!J16-'CF'!J17</f>
        <v/>
      </c>
    </row>
    <row r="19">
      <c r="B19" t="inlineStr">
        <is>
          <t>Opening cash</t>
        </is>
      </c>
      <c r="F19" s="4">
        <f>'Historicals'!E25</f>
        <v/>
      </c>
      <c r="G19" s="4">
        <f>'CF'!F20</f>
        <v/>
      </c>
      <c r="H19" s="4">
        <f>'CF'!G20</f>
        <v/>
      </c>
      <c r="I19" s="4">
        <f>'CF'!H20</f>
        <v/>
      </c>
      <c r="J19" s="4">
        <f>'CF'!I20</f>
        <v/>
      </c>
    </row>
    <row r="20">
      <c r="B20" t="inlineStr">
        <is>
          <t>Closing cash</t>
        </is>
      </c>
      <c r="F20" s="4">
        <f>'CF'!F19+'CF'!F18</f>
        <v/>
      </c>
      <c r="G20" s="4">
        <f>'CF'!G19+'CF'!G18</f>
        <v/>
      </c>
      <c r="H20" s="4">
        <f>'CF'!H19+'CF'!H18</f>
        <v/>
      </c>
      <c r="I20" s="4">
        <f>'CF'!I19+'CF'!I18</f>
        <v/>
      </c>
      <c r="J20" s="4">
        <f>'CF'!J19+'CF'!J18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Schedules — working capital, then fixed assets, leases, equity, debt</t>
        </is>
      </c>
    </row>
    <row r="2">
      <c r="F2" s="6">
        <f>'Assumptions'!F$2</f>
        <v/>
      </c>
      <c r="G2" s="6">
        <f>'Assumptions'!G$2</f>
        <v/>
      </c>
      <c r="H2" s="6">
        <f>'Assumptions'!H$2</f>
        <v/>
      </c>
      <c r="I2" s="6">
        <f>'Assumptions'!I$2</f>
        <v/>
      </c>
      <c r="J2" s="6">
        <f>'Assumptions'!J$2</f>
        <v/>
      </c>
    </row>
    <row r="3">
      <c r="B3" t="inlineStr">
        <is>
          <t>Inventories (cost of sales x inventory days / 365)</t>
        </is>
      </c>
      <c r="F3" s="4">
        <f>'IS'!F5*'Assumptions'!$C$34/'Assumptions'!$C$42</f>
        <v/>
      </c>
      <c r="G3" s="4">
        <f>'IS'!G5*'Assumptions'!$C$34/'Assumptions'!$C$42</f>
        <v/>
      </c>
      <c r="H3" s="4">
        <f>'IS'!H5*'Assumptions'!$C$34/'Assumptions'!$C$42</f>
        <v/>
      </c>
      <c r="I3" s="4">
        <f>'IS'!I5*'Assumptions'!$C$34/'Assumptions'!$C$42</f>
        <v/>
      </c>
      <c r="J3" s="4">
        <f>'IS'!J5*'Assumptions'!$C$34/'Assumptions'!$C$42</f>
        <v/>
      </c>
    </row>
    <row r="4">
      <c r="B4" t="inlineStr">
        <is>
          <t>Trade receivables (revenue x receivable days / 365)</t>
        </is>
      </c>
      <c r="F4" s="4">
        <f>'IS'!F3*'Assumptions'!$C$35/'Assumptions'!$C$42</f>
        <v/>
      </c>
      <c r="G4" s="4">
        <f>'IS'!G3*'Assumptions'!$C$35/'Assumptions'!$C$42</f>
        <v/>
      </c>
      <c r="H4" s="4">
        <f>'IS'!H3*'Assumptions'!$C$35/'Assumptions'!$C$42</f>
        <v/>
      </c>
      <c r="I4" s="4">
        <f>'IS'!I3*'Assumptions'!$C$35/'Assumptions'!$C$42</f>
        <v/>
      </c>
      <c r="J4" s="4">
        <f>'IS'!J3*'Assumptions'!$C$35/'Assumptions'!$C$42</f>
        <v/>
      </c>
    </row>
    <row r="5">
      <c r="B5" t="inlineStr">
        <is>
          <t>Trade payables (cost of sales x payable days / 365)</t>
        </is>
      </c>
      <c r="F5" s="4">
        <f>'IS'!F5*'Assumptions'!$C$36/'Assumptions'!$C$42</f>
        <v/>
      </c>
      <c r="G5" s="4">
        <f>'IS'!G5*'Assumptions'!$C$36/'Assumptions'!$C$42</f>
        <v/>
      </c>
      <c r="H5" s="4">
        <f>'IS'!H5*'Assumptions'!$C$36/'Assumptions'!$C$42</f>
        <v/>
      </c>
      <c r="I5" s="4">
        <f>'IS'!I5*'Assumptions'!$C$36/'Assumptions'!$C$42</f>
        <v/>
      </c>
      <c r="J5" s="4">
        <f>'IS'!J5*'Assumptions'!$C$36/'Assumptions'!$C$42</f>
        <v/>
      </c>
    </row>
    <row r="6">
      <c r="B6" t="inlineStr">
        <is>
          <t>Net working capital</t>
        </is>
      </c>
      <c r="F6" s="4">
        <f>'Schedules'!F3+'Schedules'!F4-'Schedules'!F5</f>
        <v/>
      </c>
      <c r="G6" s="4">
        <f>'Schedules'!G3+'Schedules'!G4-'Schedules'!G5</f>
        <v/>
      </c>
      <c r="H6" s="4">
        <f>'Schedules'!H3+'Schedules'!H4-'Schedules'!H5</f>
        <v/>
      </c>
      <c r="I6" s="4">
        <f>'Schedules'!I3+'Schedules'!I4-'Schedules'!I5</f>
        <v/>
      </c>
      <c r="J6" s="4">
        <f>'Schedules'!J3+'Schedules'!J4-'Schedules'!J5</f>
        <v/>
      </c>
    </row>
    <row r="7">
      <c r="B7" t="inlineStr">
        <is>
          <t>Opening net working capital</t>
        </is>
      </c>
      <c r="F7" s="4">
        <f>'Historicals'!E35</f>
        <v/>
      </c>
      <c r="G7" s="4">
        <f>'Schedules'!F6</f>
        <v/>
      </c>
      <c r="H7" s="4">
        <f>'Schedules'!G6</f>
        <v/>
      </c>
      <c r="I7" s="4">
        <f>'Schedules'!H6</f>
        <v/>
      </c>
      <c r="J7" s="4">
        <f>'Schedules'!I6</f>
        <v/>
      </c>
    </row>
    <row r="8">
      <c r="B8" t="inlineStr">
        <is>
          <t>Increase in net working capital (cash outflow when positive)</t>
        </is>
      </c>
      <c r="F8" s="4">
        <f>'Schedules'!F6-'Schedules'!F7</f>
        <v/>
      </c>
      <c r="G8" s="4">
        <f>'Schedules'!G6-'Schedules'!G7</f>
        <v/>
      </c>
      <c r="H8" s="4">
        <f>'Schedules'!H6-'Schedules'!H7</f>
        <v/>
      </c>
      <c r="I8" s="4">
        <f>'Schedules'!I6-'Schedules'!I7</f>
        <v/>
      </c>
      <c r="J8" s="4">
        <f>'Schedules'!J6-'Schedules'!J7</f>
        <v/>
      </c>
    </row>
    <row r="10">
      <c r="A10" s="1" t="inlineStr">
        <is>
          <t>Fixed assets (PP&amp;E)</t>
        </is>
      </c>
    </row>
    <row r="11">
      <c r="B11" t="inlineStr">
        <is>
          <t>Opening PP&amp;E</t>
        </is>
      </c>
      <c r="F11" s="4">
        <f>'Historicals'!E20</f>
        <v/>
      </c>
      <c r="G11" s="4">
        <f>'Schedules'!F14</f>
        <v/>
      </c>
      <c r="H11" s="4">
        <f>'Schedules'!G14</f>
        <v/>
      </c>
      <c r="I11" s="4">
        <f>'Schedules'!H14</f>
        <v/>
      </c>
      <c r="J11" s="4">
        <f>'Schedules'!I14</f>
        <v/>
      </c>
    </row>
    <row r="12">
      <c r="B12" t="inlineStr">
        <is>
          <t>PP&amp;E capex (revenue x total capex % x PP&amp;E share)</t>
        </is>
      </c>
      <c r="F12" s="4">
        <f>'IS'!F3*'Assumptions'!F29*'Assumptions'!$C$59</f>
        <v/>
      </c>
      <c r="G12" s="4">
        <f>'IS'!G3*'Assumptions'!G29*'Assumptions'!$C$59</f>
        <v/>
      </c>
      <c r="H12" s="4">
        <f>'IS'!H3*'Assumptions'!H29*'Assumptions'!$C$59</f>
        <v/>
      </c>
      <c r="I12" s="4">
        <f>'IS'!I3*'Assumptions'!I29*'Assumptions'!$C$59</f>
        <v/>
      </c>
      <c r="J12" s="4">
        <f>'IS'!J3*'Assumptions'!J29*'Assumptions'!$C$59</f>
        <v/>
      </c>
    </row>
    <row r="13">
      <c r="B13" t="inlineStr">
        <is>
          <t>Depreciation of PP&amp;E (rate on opening balance)</t>
        </is>
      </c>
      <c r="F13" s="4">
        <f>'Schedules'!F11*'Assumptions'!$C$37</f>
        <v/>
      </c>
      <c r="G13" s="4">
        <f>'Schedules'!G11*'Assumptions'!$C$37</f>
        <v/>
      </c>
      <c r="H13" s="4">
        <f>'Schedules'!H11*'Assumptions'!$C$37</f>
        <v/>
      </c>
      <c r="I13" s="4">
        <f>'Schedules'!I11*'Assumptions'!$C$37</f>
        <v/>
      </c>
      <c r="J13" s="4">
        <f>'Schedules'!J11*'Assumptions'!$C$37</f>
        <v/>
      </c>
    </row>
    <row r="14">
      <c r="B14" t="inlineStr">
        <is>
          <t>Closing PP&amp;E</t>
        </is>
      </c>
      <c r="F14" s="4">
        <f>'Schedules'!F11+'Schedules'!F12-'Schedules'!F13</f>
        <v/>
      </c>
      <c r="G14" s="4">
        <f>'Schedules'!G11+'Schedules'!G12-'Schedules'!G13</f>
        <v/>
      </c>
      <c r="H14" s="4">
        <f>'Schedules'!H11+'Schedules'!H12-'Schedules'!H13</f>
        <v/>
      </c>
      <c r="I14" s="4">
        <f>'Schedules'!I11+'Schedules'!I12-'Schedules'!I13</f>
        <v/>
      </c>
      <c r="J14" s="4">
        <f>'Schedules'!J11+'Schedules'!J12-'Schedules'!J13</f>
        <v/>
      </c>
    </row>
    <row r="16">
      <c r="A16" s="1" t="inlineStr">
        <is>
          <t>Intangible assets</t>
        </is>
      </c>
    </row>
    <row r="17">
      <c r="B17" t="inlineStr">
        <is>
          <t>Opening intangibles</t>
        </is>
      </c>
      <c r="F17" s="4">
        <f>'Historicals'!E22</f>
        <v/>
      </c>
      <c r="G17" s="4">
        <f>'Schedules'!F20</f>
        <v/>
      </c>
      <c r="H17" s="4">
        <f>'Schedules'!G20</f>
        <v/>
      </c>
      <c r="I17" s="4">
        <f>'Schedules'!H20</f>
        <v/>
      </c>
      <c r="J17" s="4">
        <f>'Schedules'!I20</f>
        <v/>
      </c>
    </row>
    <row r="18">
      <c r="B18" t="inlineStr">
        <is>
          <t>Intangible additions (revenue x total capex % x intangible share)</t>
        </is>
      </c>
      <c r="F18" s="4">
        <f>'IS'!F3*'Assumptions'!F29*'Assumptions'!$C$58</f>
        <v/>
      </c>
      <c r="G18" s="4">
        <f>'IS'!G3*'Assumptions'!G29*'Assumptions'!$C$58</f>
        <v/>
      </c>
      <c r="H18" s="4">
        <f>'IS'!H3*'Assumptions'!H29*'Assumptions'!$C$58</f>
        <v/>
      </c>
      <c r="I18" s="4">
        <f>'IS'!I3*'Assumptions'!I29*'Assumptions'!$C$58</f>
        <v/>
      </c>
      <c r="J18" s="4">
        <f>'IS'!J3*'Assumptions'!J29*'Assumptions'!$C$58</f>
        <v/>
      </c>
    </row>
    <row r="19">
      <c r="B19" t="inlineStr">
        <is>
          <t>Amortisation (rate on opening balance)</t>
        </is>
      </c>
      <c r="F19" s="4">
        <f>'Schedules'!F17*'Assumptions'!$C$60</f>
        <v/>
      </c>
      <c r="G19" s="4">
        <f>'Schedules'!G17*'Assumptions'!$C$60</f>
        <v/>
      </c>
      <c r="H19" s="4">
        <f>'Schedules'!H17*'Assumptions'!$C$60</f>
        <v/>
      </c>
      <c r="I19" s="4">
        <f>'Schedules'!I17*'Assumptions'!$C$60</f>
        <v/>
      </c>
      <c r="J19" s="4">
        <f>'Schedules'!J17*'Assumptions'!$C$60</f>
        <v/>
      </c>
    </row>
    <row r="20">
      <c r="B20" t="inlineStr">
        <is>
          <t>Closing intangibles</t>
        </is>
      </c>
      <c r="F20" s="4">
        <f>'Schedules'!F17+'Schedules'!F18-'Schedules'!F19</f>
        <v/>
      </c>
      <c r="G20" s="4">
        <f>'Schedules'!G17+'Schedules'!G18-'Schedules'!G19</f>
        <v/>
      </c>
      <c r="H20" s="4">
        <f>'Schedules'!H17+'Schedules'!H18-'Schedules'!H19</f>
        <v/>
      </c>
      <c r="I20" s="4">
        <f>'Schedules'!I17+'Schedules'!I18-'Schedules'!I19</f>
        <v/>
      </c>
      <c r="J20" s="4">
        <f>'Schedules'!J17+'Schedules'!J18-'Schedules'!J19</f>
        <v/>
      </c>
    </row>
    <row r="21">
      <c r="B21" t="inlineStr">
        <is>
          <t>Total cash capex (PP&amp;E + intangible)</t>
        </is>
      </c>
      <c r="F21" s="4">
        <f>'Schedules'!F12+'Schedules'!F18</f>
        <v/>
      </c>
      <c r="G21" s="4">
        <f>'Schedules'!G12+'Schedules'!G18</f>
        <v/>
      </c>
      <c r="H21" s="4">
        <f>'Schedules'!H12+'Schedules'!H18</f>
        <v/>
      </c>
      <c r="I21" s="4">
        <f>'Schedules'!I12+'Schedules'!I18</f>
        <v/>
      </c>
      <c r="J21" s="4">
        <f>'Schedules'!J12+'Schedules'!J18</f>
        <v/>
      </c>
    </row>
    <row r="23">
      <c r="A23" s="1" t="inlineStr">
        <is>
          <t>Leases (IFRS 16)</t>
        </is>
      </c>
    </row>
    <row r="24">
      <c r="B24" t="inlineStr">
        <is>
          <t>Opening right-of-use assets</t>
        </is>
      </c>
      <c r="F24" s="4">
        <f>'Historicals'!E21</f>
        <v/>
      </c>
      <c r="G24" s="4">
        <f>'Schedules'!F27</f>
        <v/>
      </c>
      <c r="H24" s="4">
        <f>'Schedules'!G27</f>
        <v/>
      </c>
      <c r="I24" s="4">
        <f>'Schedules'!H27</f>
        <v/>
      </c>
      <c r="J24" s="4">
        <f>'Schedules'!I27</f>
        <v/>
      </c>
    </row>
    <row r="25">
      <c r="B25" t="inlineStr">
        <is>
          <t>New ROU asset additions (revenue x ROU additions %)</t>
        </is>
      </c>
      <c r="F25" s="4">
        <f>'IS'!F3*'Assumptions'!F30</f>
        <v/>
      </c>
      <c r="G25" s="4">
        <f>'IS'!G3*'Assumptions'!G30</f>
        <v/>
      </c>
      <c r="H25" s="4">
        <f>'IS'!H3*'Assumptions'!H30</f>
        <v/>
      </c>
      <c r="I25" s="4">
        <f>'IS'!I3*'Assumptions'!I30</f>
        <v/>
      </c>
      <c r="J25" s="4">
        <f>'IS'!J3*'Assumptions'!J30</f>
        <v/>
      </c>
    </row>
    <row r="26">
      <c r="B26" t="inlineStr">
        <is>
          <t>Depreciation of ROU assets (rate on opening balance)</t>
        </is>
      </c>
      <c r="F26" s="4">
        <f>'Schedules'!F24*'Assumptions'!$C$38</f>
        <v/>
      </c>
      <c r="G26" s="4">
        <f>'Schedules'!G24*'Assumptions'!$C$38</f>
        <v/>
      </c>
      <c r="H26" s="4">
        <f>'Schedules'!H24*'Assumptions'!$C$38</f>
        <v/>
      </c>
      <c r="I26" s="4">
        <f>'Schedules'!I24*'Assumptions'!$C$38</f>
        <v/>
      </c>
      <c r="J26" s="4">
        <f>'Schedules'!J24*'Assumptions'!$C$38</f>
        <v/>
      </c>
    </row>
    <row r="27">
      <c r="B27" t="inlineStr">
        <is>
          <t>Closing right-of-use assets</t>
        </is>
      </c>
      <c r="F27" s="4">
        <f>'Schedules'!F24+'Schedules'!F25-'Schedules'!F26</f>
        <v/>
      </c>
      <c r="G27" s="4">
        <f>'Schedules'!G24+'Schedules'!G25-'Schedules'!G26</f>
        <v/>
      </c>
      <c r="H27" s="4">
        <f>'Schedules'!H24+'Schedules'!H25-'Schedules'!H26</f>
        <v/>
      </c>
      <c r="I27" s="4">
        <f>'Schedules'!I24+'Schedules'!I25-'Schedules'!I26</f>
        <v/>
      </c>
      <c r="J27" s="4">
        <f>'Schedules'!J24+'Schedules'!J25-'Schedules'!J26</f>
        <v/>
      </c>
    </row>
    <row r="28">
      <c r="B28" t="inlineStr">
        <is>
          <t>Opening lease liabilities</t>
        </is>
      </c>
      <c r="F28" s="4">
        <f>'Historicals'!E30</f>
        <v/>
      </c>
      <c r="G28" s="4">
        <f>'Schedules'!F31</f>
        <v/>
      </c>
      <c r="H28" s="4">
        <f>'Schedules'!G31</f>
        <v/>
      </c>
      <c r="I28" s="4">
        <f>'Schedules'!H31</f>
        <v/>
      </c>
      <c r="J28" s="4">
        <f>'Schedules'!I31</f>
        <v/>
      </c>
    </row>
    <row r="29">
      <c r="B29" t="inlineStr">
        <is>
          <t>Lease interest (discount rate on opening liability)</t>
        </is>
      </c>
      <c r="F29" s="4">
        <f>'Schedules'!F28*'Assumptions'!$C$53</f>
        <v/>
      </c>
      <c r="G29" s="4">
        <f>'Schedules'!G28*'Assumptions'!$C$53</f>
        <v/>
      </c>
      <c r="H29" s="4">
        <f>'Schedules'!H28*'Assumptions'!$C$53</f>
        <v/>
      </c>
      <c r="I29" s="4">
        <f>'Schedules'!I28*'Assumptions'!$C$53</f>
        <v/>
      </c>
      <c r="J29" s="4">
        <f>'Schedules'!J28*'Assumptions'!$C$53</f>
        <v/>
      </c>
    </row>
    <row r="30">
      <c r="B30" t="inlineStr">
        <is>
          <t>Lease principal repaid (opening / implied term + additions x fit rate)</t>
        </is>
      </c>
      <c r="F30" s="4">
        <f>'Schedules'!F28/'Assumptions'!$C$56+'Schedules'!F25*'Assumptions'!$C$57</f>
        <v/>
      </c>
      <c r="G30" s="4">
        <f>'Schedules'!G28/'Assumptions'!$C$56+'Schedules'!G25*'Assumptions'!$C$57</f>
        <v/>
      </c>
      <c r="H30" s="4">
        <f>'Schedules'!H28/'Assumptions'!$C$56+'Schedules'!H25*'Assumptions'!$C$57</f>
        <v/>
      </c>
      <c r="I30" s="4">
        <f>'Schedules'!I28/'Assumptions'!$C$56+'Schedules'!I25*'Assumptions'!$C$57</f>
        <v/>
      </c>
      <c r="J30" s="4">
        <f>'Schedules'!J28/'Assumptions'!$C$56+'Schedules'!J25*'Assumptions'!$C$57</f>
        <v/>
      </c>
    </row>
    <row r="31">
      <c r="B31" t="inlineStr">
        <is>
          <t>Closing lease liabilities</t>
        </is>
      </c>
      <c r="F31" s="4">
        <f>'Schedules'!F28+'Schedules'!F25-'Schedules'!F30</f>
        <v/>
      </c>
      <c r="G31" s="4">
        <f>'Schedules'!G28+'Schedules'!G25-'Schedules'!G30</f>
        <v/>
      </c>
      <c r="H31" s="4">
        <f>'Schedules'!H28+'Schedules'!H25-'Schedules'!H30</f>
        <v/>
      </c>
      <c r="I31" s="4">
        <f>'Schedules'!I28+'Schedules'!I25-'Schedules'!I30</f>
        <v/>
      </c>
      <c r="J31" s="4">
        <f>'Schedules'!J28+'Schedules'!J25-'Schedules'!J30</f>
        <v/>
      </c>
    </row>
    <row r="33">
      <c r="A33" s="1" t="inlineStr">
        <is>
          <t>Equity and distributions</t>
        </is>
      </c>
    </row>
    <row r="34">
      <c r="B34" t="inlineStr">
        <is>
          <t>Dividends declared (payout ratio on net income, floored at nil)</t>
        </is>
      </c>
      <c r="F34" s="4">
        <f>MAX('IS'!F17,0)*'Assumptions'!$C$40</f>
        <v/>
      </c>
      <c r="G34" s="4">
        <f>MAX('IS'!G17,0)*'Assumptions'!$C$40</f>
        <v/>
      </c>
      <c r="H34" s="4">
        <f>MAX('IS'!H17,0)*'Assumptions'!$C$40</f>
        <v/>
      </c>
      <c r="I34" s="4">
        <f>MAX('IS'!I17,0)*'Assumptions'!$C$40</f>
        <v/>
      </c>
      <c r="J34" s="4">
        <f>MAX('IS'!J17,0)*'Assumptions'!$C$40</f>
        <v/>
      </c>
    </row>
    <row r="35">
      <c r="B35" t="inlineStr">
        <is>
          <t>Opening shareholders' equity</t>
        </is>
      </c>
      <c r="F35" s="4">
        <f>'Historicals'!E33</f>
        <v/>
      </c>
      <c r="G35" s="4">
        <f>'Schedules'!F36</f>
        <v/>
      </c>
      <c r="H35" s="4">
        <f>'Schedules'!G36</f>
        <v/>
      </c>
      <c r="I35" s="4">
        <f>'Schedules'!H36</f>
        <v/>
      </c>
      <c r="J35" s="4">
        <f>'Schedules'!I36</f>
        <v/>
      </c>
    </row>
    <row r="36">
      <c r="B36" t="inlineStr">
        <is>
          <t>Closing shareholders' equity</t>
        </is>
      </c>
      <c r="F36" s="4">
        <f>'Schedules'!F35+'IS'!F17-'Schedules'!F34</f>
        <v/>
      </c>
      <c r="G36" s="4">
        <f>'Schedules'!G35+'IS'!G17-'Schedules'!G34</f>
        <v/>
      </c>
      <c r="H36" s="4">
        <f>'Schedules'!H35+'IS'!H17-'Schedules'!H34</f>
        <v/>
      </c>
      <c r="I36" s="4">
        <f>'Schedules'!I35+'IS'!I17-'Schedules'!I34</f>
        <v/>
      </c>
      <c r="J36" s="4">
        <f>'Schedules'!J35+'IS'!J17-'Schedules'!J34</f>
        <v/>
      </c>
    </row>
    <row r="38">
      <c r="A38" s="1" t="inlineStr">
        <is>
          <t>Debt and cash</t>
        </is>
      </c>
    </row>
    <row r="39">
      <c r="B39" t="inlineStr">
        <is>
          <t>Cash generated before financing</t>
        </is>
      </c>
      <c r="F39" s="4">
        <f>'IS'!F7-'Schedules'!F8-'Schedules'!F21-'Schedules'!F30-'Schedules'!F29-'IS'!F16-'Schedules'!F34</f>
        <v/>
      </c>
      <c r="G39" s="4">
        <f>'IS'!G7-'Schedules'!G8-'Schedules'!G21-'Schedules'!G30-'Schedules'!G29-'IS'!G16-'Schedules'!G34</f>
        <v/>
      </c>
      <c r="H39" s="4">
        <f>'IS'!H7-'Schedules'!H8-'Schedules'!H21-'Schedules'!H30-'Schedules'!H29-'IS'!H16-'Schedules'!H34</f>
        <v/>
      </c>
      <c r="I39" s="4">
        <f>'IS'!I7-'Schedules'!I8-'Schedules'!I21-'Schedules'!I30-'Schedules'!I29-'IS'!I16-'Schedules'!I34</f>
        <v/>
      </c>
      <c r="J39" s="4">
        <f>'IS'!J7-'Schedules'!J8-'Schedules'!J21-'Schedules'!J30-'Schedules'!J29-'IS'!J16-'Schedules'!J34</f>
        <v/>
      </c>
    </row>
    <row r="40">
      <c r="B40" t="inlineStr">
        <is>
          <t>Opening borrowings</t>
        </is>
      </c>
      <c r="F40" s="4">
        <f>'Historicals'!E31</f>
        <v/>
      </c>
      <c r="G40" s="4">
        <f>'Schedules'!F47</f>
        <v/>
      </c>
      <c r="H40" s="4">
        <f>'Schedules'!G47</f>
        <v/>
      </c>
      <c r="I40" s="4">
        <f>'Schedules'!H47</f>
        <v/>
      </c>
      <c r="J40" s="4">
        <f>'Schedules'!I47</f>
        <v/>
      </c>
    </row>
    <row r="41">
      <c r="B41" t="inlineStr">
        <is>
          <t>Opening cash</t>
        </is>
      </c>
      <c r="F41" s="4">
        <f>'Historicals'!E25</f>
        <v/>
      </c>
      <c r="G41" s="4">
        <f>'Schedules'!F48</f>
        <v/>
      </c>
      <c r="H41" s="4">
        <f>'Schedules'!G48</f>
        <v/>
      </c>
      <c r="I41" s="4">
        <f>'Schedules'!H48</f>
        <v/>
      </c>
      <c r="J41" s="4">
        <f>'Schedules'!I48</f>
        <v/>
      </c>
    </row>
    <row r="42">
      <c r="B42" t="inlineStr">
        <is>
          <t>Cash available before interest</t>
        </is>
      </c>
      <c r="F42" s="4">
        <f>'Schedules'!F41+'Schedules'!F39</f>
        <v/>
      </c>
      <c r="G42" s="4">
        <f>'Schedules'!G41+'Schedules'!G39</f>
        <v/>
      </c>
      <c r="H42" s="4">
        <f>'Schedules'!H41+'Schedules'!H39</f>
        <v/>
      </c>
      <c r="I42" s="4">
        <f>'Schedules'!I41+'Schedules'!I39</f>
        <v/>
      </c>
      <c r="J42" s="4">
        <f>'Schedules'!J41+'Schedules'!J39</f>
        <v/>
      </c>
    </row>
    <row r="43">
      <c r="B43" t="inlineStr">
        <is>
          <t>Interest on borrowings (rate on opening debt)</t>
        </is>
      </c>
      <c r="F43" s="4">
        <f>'Schedules'!F40*'Assumptions'!$C$44</f>
        <v/>
      </c>
      <c r="G43" s="4">
        <f>'Schedules'!G40*'Assumptions'!$C$44</f>
        <v/>
      </c>
      <c r="H43" s="4">
        <f>'Schedules'!H40*'Assumptions'!$C$44</f>
        <v/>
      </c>
      <c r="I43" s="4">
        <f>'Schedules'!I40*'Assumptions'!$C$44</f>
        <v/>
      </c>
      <c r="J43" s="4">
        <f>'Schedules'!J40*'Assumptions'!$C$44</f>
        <v/>
      </c>
    </row>
    <row r="44">
      <c r="B44" t="inlineStr">
        <is>
          <t>Cash available before debt service</t>
        </is>
      </c>
      <c r="F44" s="4">
        <f>'Schedules'!F42-'Schedules'!F43</f>
        <v/>
      </c>
      <c r="G44" s="4">
        <f>'Schedules'!G42-'Schedules'!G43</f>
        <v/>
      </c>
      <c r="H44" s="4">
        <f>'Schedules'!H42-'Schedules'!H43</f>
        <v/>
      </c>
      <c r="I44" s="4">
        <f>'Schedules'!I42-'Schedules'!I43</f>
        <v/>
      </c>
      <c r="J44" s="4">
        <f>'Schedules'!J42-'Schedules'!J43</f>
        <v/>
      </c>
    </row>
    <row r="45">
      <c r="B45" t="inlineStr">
        <is>
          <t>Repayment of borrowings</t>
        </is>
      </c>
      <c r="F45" s="4">
        <f>MAX(0,MIN('Schedules'!F40,'Schedules'!F44-'Assumptions'!$C$41))</f>
        <v/>
      </c>
      <c r="G45" s="4">
        <f>MAX(0,MIN('Schedules'!G40,'Schedules'!G44-'Assumptions'!$C$41))</f>
        <v/>
      </c>
      <c r="H45" s="4">
        <f>MAX(0,MIN('Schedules'!H40,'Schedules'!H44-'Assumptions'!$C$41))</f>
        <v/>
      </c>
      <c r="I45" s="4">
        <f>MAX(0,MIN('Schedules'!I40,'Schedules'!I44-'Assumptions'!$C$41))</f>
        <v/>
      </c>
      <c r="J45" s="4">
        <f>MAX(0,MIN('Schedules'!J40,'Schedules'!J44-'Assumptions'!$C$41))</f>
        <v/>
      </c>
    </row>
    <row r="46">
      <c r="B46" t="inlineStr">
        <is>
          <t>Revolver draw</t>
        </is>
      </c>
      <c r="F46" s="4">
        <f>MAX(0,'Assumptions'!$C$41-'Schedules'!F44)</f>
        <v/>
      </c>
      <c r="G46" s="4">
        <f>MAX(0,'Assumptions'!$C$41-'Schedules'!G44)</f>
        <v/>
      </c>
      <c r="H46" s="4">
        <f>MAX(0,'Assumptions'!$C$41-'Schedules'!H44)</f>
        <v/>
      </c>
      <c r="I46" s="4">
        <f>MAX(0,'Assumptions'!$C$41-'Schedules'!I44)</f>
        <v/>
      </c>
      <c r="J46" s="4">
        <f>MAX(0,'Assumptions'!$C$41-'Schedules'!J44)</f>
        <v/>
      </c>
    </row>
    <row r="47">
      <c r="B47" t="inlineStr">
        <is>
          <t>Closing borrowings</t>
        </is>
      </c>
      <c r="F47" s="4">
        <f>'Schedules'!F40-'Schedules'!F45+'Schedules'!F46</f>
        <v/>
      </c>
      <c r="G47" s="4">
        <f>'Schedules'!G40-'Schedules'!G45+'Schedules'!G46</f>
        <v/>
      </c>
      <c r="H47" s="4">
        <f>'Schedules'!H40-'Schedules'!H45+'Schedules'!H46</f>
        <v/>
      </c>
      <c r="I47" s="4">
        <f>'Schedules'!I40-'Schedules'!I45+'Schedules'!I46</f>
        <v/>
      </c>
      <c r="J47" s="4">
        <f>'Schedules'!J40-'Schedules'!J45+'Schedules'!J46</f>
        <v/>
      </c>
    </row>
    <row r="48">
      <c r="B48" t="inlineStr">
        <is>
          <t>Closing cash (debt schedule's own track)</t>
        </is>
      </c>
      <c r="F48" s="4">
        <f>'Schedules'!F44-'Schedules'!F45+'Schedules'!F46</f>
        <v/>
      </c>
      <c r="G48" s="4">
        <f>'Schedules'!G44-'Schedules'!G45+'Schedules'!G46</f>
        <v/>
      </c>
      <c r="H48" s="4">
        <f>'Schedules'!H44-'Schedules'!H45+'Schedules'!H46</f>
        <v/>
      </c>
      <c r="I48" s="4">
        <f>'Schedules'!I44-'Schedules'!I45+'Schedules'!I46</f>
        <v/>
      </c>
      <c r="J48" s="4">
        <f>'Schedules'!J44-'Schedules'!J45+'Schedules'!J46</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Discounted cash flow — Gordon growth on a re-based terminal year, £m</t>
        </is>
      </c>
    </row>
    <row r="2">
      <c r="F2" s="6">
        <f>'Assumptions'!F$2</f>
        <v/>
      </c>
      <c r="G2" s="6">
        <f>'Assumptions'!G$2</f>
        <v/>
      </c>
      <c r="H2" s="6">
        <f>'Assumptions'!H$2</f>
        <v/>
      </c>
      <c r="I2" s="6">
        <f>'Assumptions'!I$2</f>
        <v/>
      </c>
      <c r="J2" s="6">
        <f>'Assumptions'!J$2</f>
        <v/>
      </c>
    </row>
    <row r="3">
      <c r="B3" t="inlineStr">
        <is>
          <t>Cost of equity (CAPM: risk-free rate + beta x equity risk premium)</t>
        </is>
      </c>
      <c r="C3" s="10">
        <f>'Assumptions'!$C$45+'Assumptions'!$C$47*'Assumptions'!$C$46</f>
        <v/>
      </c>
    </row>
    <row r="4">
      <c r="B4" t="inlineStr">
        <is>
          <t>After-tax cost of debt (blended rate x (1 - tax rate))</t>
        </is>
      </c>
      <c r="C4" s="10">
        <f>'Assumptions'!$C$61*(1-'Assumptions'!$C$39)</f>
        <v/>
      </c>
    </row>
    <row r="5">
      <c r="B5" t="inlineStr">
        <is>
          <t>WACC</t>
        </is>
      </c>
      <c r="C5" s="10">
        <f>(1-'Assumptions'!$C$48)*'DCF'!$C$3+'Assumptions'!$C$48*'DCF'!$C$4</f>
        <v/>
      </c>
    </row>
    <row r="7">
      <c r="A7" s="1" t="inlineStr">
        <is>
          <t>Unlevered free cash flow — the explicit five years</t>
        </is>
      </c>
    </row>
    <row r="8">
      <c r="B8" t="inlineStr">
        <is>
          <t>EBIT (from the income statement)</t>
        </is>
      </c>
      <c r="F8" s="14">
        <f>'IS'!F12</f>
        <v/>
      </c>
      <c r="G8" s="14">
        <f>'IS'!G12</f>
        <v/>
      </c>
      <c r="H8" s="14">
        <f>'IS'!H12</f>
        <v/>
      </c>
      <c r="I8" s="14">
        <f>'IS'!I12</f>
        <v/>
      </c>
      <c r="J8" s="14">
        <f>'IS'!J12</f>
        <v/>
      </c>
    </row>
    <row r="9">
      <c r="B9" t="inlineStr">
        <is>
          <t>EBIT after tax (unlevered: nothing below EBIT enters this sheet)</t>
        </is>
      </c>
      <c r="F9" s="4">
        <f>'DCF'!F8*(1-'Assumptions'!$C$39)</f>
        <v/>
      </c>
      <c r="G9" s="4">
        <f>'DCF'!G8*(1-'Assumptions'!$C$39)</f>
        <v/>
      </c>
      <c r="H9" s="4">
        <f>'DCF'!H8*(1-'Assumptions'!$C$39)</f>
        <v/>
      </c>
      <c r="I9" s="4">
        <f>'DCF'!I8*(1-'Assumptions'!$C$39)</f>
        <v/>
      </c>
      <c r="J9" s="4">
        <f>'DCF'!J8*(1-'Assumptions'!$C$39)</f>
        <v/>
      </c>
    </row>
    <row r="10">
      <c r="B10" t="inlineStr">
        <is>
          <t>Depreciation and amortisation (added back)</t>
        </is>
      </c>
      <c r="F10" s="14">
        <f>'IS'!F11</f>
        <v/>
      </c>
      <c r="G10" s="14">
        <f>'IS'!G11</f>
        <v/>
      </c>
      <c r="H10" s="14">
        <f>'IS'!H11</f>
        <v/>
      </c>
      <c r="I10" s="14">
        <f>'IS'!I11</f>
        <v/>
      </c>
      <c r="J10" s="14">
        <f>'IS'!J11</f>
        <v/>
      </c>
    </row>
    <row r="11">
      <c r="B11" t="inlineStr">
        <is>
          <t>Total cash capex (PP&amp;E + intangible)</t>
        </is>
      </c>
      <c r="F11" s="14">
        <f>'Schedules'!F21</f>
        <v/>
      </c>
      <c r="G11" s="14">
        <f>'Schedules'!G21</f>
        <v/>
      </c>
      <c r="H11" s="14">
        <f>'Schedules'!H21</f>
        <v/>
      </c>
      <c r="I11" s="14">
        <f>'Schedules'!I21</f>
        <v/>
      </c>
      <c r="J11" s="14">
        <f>'Schedules'!J21</f>
        <v/>
      </c>
    </row>
    <row r="12">
      <c r="B12" t="inlineStr">
        <is>
          <t>New ROU asset additions (an investing outflow — leases are debt here)</t>
        </is>
      </c>
      <c r="F12" s="14">
        <f>'Schedules'!F25</f>
        <v/>
      </c>
      <c r="G12" s="14">
        <f>'Schedules'!G25</f>
        <v/>
      </c>
      <c r="H12" s="14">
        <f>'Schedules'!H25</f>
        <v/>
      </c>
      <c r="I12" s="14">
        <f>'Schedules'!I25</f>
        <v/>
      </c>
      <c r="J12" s="14">
        <f>'Schedules'!J25</f>
        <v/>
      </c>
    </row>
    <row r="13">
      <c r="B13" t="inlineStr">
        <is>
          <t>Increase in net working capital</t>
        </is>
      </c>
      <c r="F13" s="14">
        <f>'Schedules'!F8</f>
        <v/>
      </c>
      <c r="G13" s="14">
        <f>'Schedules'!G8</f>
        <v/>
      </c>
      <c r="H13" s="14">
        <f>'Schedules'!H8</f>
        <v/>
      </c>
      <c r="I13" s="14">
        <f>'Schedules'!I8</f>
        <v/>
      </c>
      <c r="J13" s="14">
        <f>'Schedules'!J8</f>
        <v/>
      </c>
    </row>
    <row r="14">
      <c r="B14" t="inlineStr">
        <is>
          <t>Unlevered free cash flow</t>
        </is>
      </c>
      <c r="F14" s="4">
        <f>'DCF'!F9+'DCF'!F10-'DCF'!F11-'DCF'!F12-'DCF'!F13</f>
        <v/>
      </c>
      <c r="G14" s="4">
        <f>'DCF'!G9+'DCF'!G10-'DCF'!G11-'DCF'!G12-'DCF'!G13</f>
        <v/>
      </c>
      <c r="H14" s="4">
        <f>'DCF'!H9+'DCF'!H10-'DCF'!H11-'DCF'!H12-'DCF'!H13</f>
        <v/>
      </c>
      <c r="I14" s="4">
        <f>'DCF'!I9+'DCF'!I10-'DCF'!I11-'DCF'!I12-'DCF'!I13</f>
        <v/>
      </c>
      <c r="J14" s="4">
        <f>'DCF'!J9+'DCF'!J10-'DCF'!J11-'DCF'!J12-'DCF'!J13</f>
        <v/>
      </c>
    </row>
    <row r="15">
      <c r="B15" t="inlineStr">
        <is>
          <t>Discount period (years, mid-year convention)</t>
        </is>
      </c>
      <c r="F15" s="13">
        <f>COLUMN()-COLUMN('DCF'!$F$14)+0.5</f>
        <v/>
      </c>
      <c r="G15" s="13">
        <f>COLUMN()-COLUMN('DCF'!$F$14)+0.5</f>
        <v/>
      </c>
      <c r="H15" s="13">
        <f>COLUMN()-COLUMN('DCF'!$F$14)+0.5</f>
        <v/>
      </c>
      <c r="I15" s="13">
        <f>COLUMN()-COLUMN('DCF'!$F$14)+0.5</f>
        <v/>
      </c>
      <c r="J15" s="13">
        <f>COLUMN()-COLUMN('DCF'!$F$14)+0.5</f>
        <v/>
      </c>
    </row>
    <row r="16">
      <c r="B16" t="inlineStr">
        <is>
          <t>Discount factor</t>
        </is>
      </c>
      <c r="F16" s="13">
        <f>(1+'DCF'!$C$5)^'DCF'!F15</f>
        <v/>
      </c>
      <c r="G16" s="13">
        <f>(1+'DCF'!$C$5)^'DCF'!G15</f>
        <v/>
      </c>
      <c r="H16" s="13">
        <f>(1+'DCF'!$C$5)^'DCF'!H15</f>
        <v/>
      </c>
      <c r="I16" s="13">
        <f>(1+'DCF'!$C$5)^'DCF'!I15</f>
        <v/>
      </c>
      <c r="J16" s="13">
        <f>(1+'DCF'!$C$5)^'DCF'!J15</f>
        <v/>
      </c>
    </row>
    <row r="17">
      <c r="B17" t="inlineStr">
        <is>
          <t>PV of unlevered free cash flow</t>
        </is>
      </c>
      <c r="F17" s="4">
        <f>'DCF'!F14/'DCF'!F16</f>
        <v/>
      </c>
      <c r="G17" s="4">
        <f>'DCF'!G14/'DCF'!G16</f>
        <v/>
      </c>
      <c r="H17" s="4">
        <f>'DCF'!H14/'DCF'!H16</f>
        <v/>
      </c>
      <c r="I17" s="4">
        <f>'DCF'!I14/'DCF'!I16</f>
        <v/>
      </c>
      <c r="J17" s="4">
        <f>'DCF'!J14/'DCF'!J16</f>
        <v/>
      </c>
    </row>
    <row r="19">
      <c r="A19" s="1" t="inlineStr">
        <is>
          <t>Terminal year — the final year rebuilt at the perpetuity growth rate</t>
        </is>
      </c>
    </row>
    <row r="20">
      <c r="B20" t="inlineStr">
        <is>
          <t>This block is NOT FY2030. Every investment and depreciation intensity below is re-derived at the perpetuity growth rate g*, because FY2030's were derived to sustain the estate at that scenario's own terminal revenue growth and still carry the tail of the distribution-centre programme. The revenue LEVEL is FY2030's; the (1 + g*) step to the first perpetuity year is applied by the Gordon formula below.</t>
        </is>
      </c>
    </row>
    <row r="21">
      <c r="B21" t="inlineStr">
        <is>
          <t>Perpetuity growth rate (g*)</t>
        </is>
      </c>
      <c r="C21" s="15">
        <f>'Assumptions'!$C$49</f>
        <v/>
      </c>
    </row>
    <row r="22">
      <c r="B22" t="inlineStr">
        <is>
          <t>Terminal PP&amp;E / revenue (post-programme anchor)</t>
        </is>
      </c>
      <c r="C22" s="10">
        <f>('BS'!J3/'IS'!J3)/(1+'DCF'!$C$21)^(1/'Assumptions'!$C$37)</f>
        <v/>
      </c>
    </row>
    <row r="23">
      <c r="B23" t="inlineStr">
        <is>
          <t>Terminal ROU assets / revenue (FY2025 actual)</t>
        </is>
      </c>
      <c r="C23" s="10">
        <f>'Historicals'!E21/'Historicals'!E3</f>
        <v/>
      </c>
    </row>
    <row r="24">
      <c r="B24" t="inlineStr">
        <is>
          <t>Terminal total capex (% of revenue, sustaining, grossed up for intangibles)</t>
        </is>
      </c>
      <c r="C24" s="10">
        <f>'DCF'!$C$22*('DCF'!$C$21+'Assumptions'!$C$37)/(1+'DCF'!$C$21)/'Assumptions'!$C$59</f>
        <v/>
      </c>
    </row>
    <row r="25">
      <c r="B25" t="inlineStr">
        <is>
          <t>Terminal ROU additions (% of revenue, sustaining)</t>
        </is>
      </c>
      <c r="C25" s="10">
        <f>'DCF'!$C$23*('DCF'!$C$21+'Assumptions'!$C$38)/(1+'DCF'!$C$21)</f>
        <v/>
      </c>
    </row>
    <row r="26">
      <c r="B26" t="inlineStr">
        <is>
          <t>Terminal PP&amp;E depreciation (% of revenue)</t>
        </is>
      </c>
      <c r="C26" s="10">
        <f>'Assumptions'!$C$37*'DCF'!$C$22/(1+'DCF'!$C$21)</f>
        <v/>
      </c>
    </row>
    <row r="27">
      <c r="B27" t="inlineStr">
        <is>
          <t>Terminal ROU depreciation (% of revenue)</t>
        </is>
      </c>
      <c r="C27" s="10">
        <f>'Assumptions'!$C$38*'DCF'!$C$23/(1+'DCF'!$C$21)</f>
        <v/>
      </c>
    </row>
    <row r="28">
      <c r="B28" t="inlineStr">
        <is>
          <t>Terminal intangible additions (% of revenue)</t>
        </is>
      </c>
      <c r="C28" s="10">
        <f>'DCF'!$C$24*'Assumptions'!$C$58</f>
        <v/>
      </c>
    </row>
    <row r="29">
      <c r="B29" t="inlineStr">
        <is>
          <t>Terminal amortisation (% of revenue)</t>
        </is>
      </c>
      <c r="C29" s="10">
        <f>'DCF'!$C$28*'Assumptions'!$C$60/('DCF'!$C$21+'Assumptions'!$C$60)</f>
        <v/>
      </c>
    </row>
    <row r="30">
      <c r="B30" t="inlineStr">
        <is>
          <t>Terminal D&amp;A (% of revenue)</t>
        </is>
      </c>
      <c r="C30" s="10">
        <f>'DCF'!$C$26+'DCF'!$C$27+'DCF'!$C$29</f>
        <v/>
      </c>
    </row>
    <row r="31">
      <c r="B31" t="inlineStr">
        <is>
          <t>Terminal net working capital (% of revenue, negative — payables dominate)</t>
        </is>
      </c>
      <c r="C31" s="10">
        <f>'Schedules'!J6/'IS'!J3</f>
        <v/>
      </c>
    </row>
    <row r="32">
      <c r="B32" t="inlineStr">
        <is>
          <t>Terminal revenue (the FY2030 LEVEL, not FY2031's)</t>
        </is>
      </c>
      <c r="C32" s="14">
        <f>'IS'!J3</f>
        <v/>
      </c>
    </row>
    <row r="33">
      <c r="B33" t="inlineStr">
        <is>
          <t>Terminal EBITDA margin (FY2030 gross margin less FY2030 opex ratio)</t>
        </is>
      </c>
      <c r="C33" s="10">
        <f>'Assumptions'!J27-'Assumptions'!J28</f>
        <v/>
      </c>
    </row>
    <row r="34">
      <c r="B34" t="inlineStr">
        <is>
          <t>Terminal EBITDA (margin x revenue)</t>
        </is>
      </c>
      <c r="C34" s="4">
        <f>'DCF'!$C$33*'DCF'!$C$32</f>
        <v/>
      </c>
    </row>
    <row r="35">
      <c r="B35" t="inlineStr">
        <is>
          <t>Terminal depreciation and amortisation</t>
        </is>
      </c>
      <c r="C35" s="4">
        <f>'DCF'!$C$30*'DCF'!$C$32</f>
        <v/>
      </c>
    </row>
    <row r="36">
      <c r="B36" t="inlineStr">
        <is>
          <t>Terminal EBIT</t>
        </is>
      </c>
      <c r="C36" s="4">
        <f>'DCF'!$C$34-'DCF'!$C$35</f>
        <v/>
      </c>
    </row>
    <row r="37">
      <c r="B37" t="inlineStr">
        <is>
          <t>Terminal total cash capex</t>
        </is>
      </c>
      <c r="C37" s="4">
        <f>'DCF'!$C$24*'DCF'!$C$32</f>
        <v/>
      </c>
    </row>
    <row r="38">
      <c r="B38" t="inlineStr">
        <is>
          <t>Terminal ROU asset additions</t>
        </is>
      </c>
      <c r="C38" s="4">
        <f>'DCF'!$C$25*'DCF'!$C$32</f>
        <v/>
      </c>
    </row>
    <row r="39">
      <c r="B39" t="inlineStr">
        <is>
          <t>Terminal increase in net working capital (negative = cash released)</t>
        </is>
      </c>
      <c r="C39" s="4">
        <f>'DCF'!$C$31*'DCF'!$C$21/(1+'DCF'!$C$21)*'DCF'!$C$32</f>
        <v/>
      </c>
    </row>
    <row r="40">
      <c r="B40" t="inlineStr">
        <is>
          <t>Terminal unlevered free cash flow</t>
        </is>
      </c>
      <c r="C40" s="4">
        <f>'DCF'!$C$36*(1-'Assumptions'!$C$39)+'DCF'!$C$35-'DCF'!$C$37-'DCF'!$C$38-'DCF'!$C$39</f>
        <v/>
      </c>
    </row>
    <row r="41">
      <c r="B41" t="inlineStr">
        <is>
          <t>Terminal D&amp;A / EBITDA (the capital intensity Comps prices)</t>
        </is>
      </c>
      <c r="C41" s="10">
        <f>'DCF'!$C$35/'DCF'!$C$34</f>
        <v/>
      </c>
    </row>
    <row r="43">
      <c r="A43" s="1" t="inlineStr">
        <is>
          <t>Terminal value</t>
        </is>
      </c>
    </row>
    <row r="44">
      <c r="B44" t="inlineStr">
        <is>
          <t>Terminal value (Gordon growth)</t>
        </is>
      </c>
      <c r="C44" s="4">
        <f>'DCF'!$C$40*(1+'DCF'!$C$21)/('DCF'!$C$5-'DCF'!$C$21)</f>
        <v/>
      </c>
    </row>
    <row r="45">
      <c r="B45" t="inlineStr">
        <is>
          <t>Excess PP&amp;E over the re-based base, at FY2029</t>
        </is>
      </c>
      <c r="C45" s="4">
        <f>'BS'!I3-'DCF'!$C$22*'IS'!I3</f>
        <v/>
      </c>
    </row>
    <row r="46">
      <c r="B46" t="inlineStr">
        <is>
          <t>Decay factor x = (1 - PP&amp;E depreciation rate) / (1 + WACC)</t>
        </is>
      </c>
      <c r="C46" s="13">
        <f>(1-'Assumptions'!$C$37)/(1+'DCF'!$C$5)</f>
        <v/>
      </c>
    </row>
    <row r="47">
      <c r="B47" t="inlineStr">
        <is>
          <t>Value at the terminal date of the excess PP&amp;E tax shield</t>
        </is>
      </c>
      <c r="C47" s="4">
        <f>'Assumptions'!$C$39*'Assumptions'!$C$37*'DCF'!$C$45*'DCF'!$C$46/(1-'DCF'!$C$46)</f>
        <v/>
      </c>
    </row>
    <row r="48">
      <c r="B48" t="inlineStr">
        <is>
          <t>Terminal value (exit multiple)</t>
        </is>
      </c>
      <c r="C48" s="4">
        <f>'IS'!J7*'Assumptions'!$C$31</f>
        <v/>
      </c>
    </row>
    <row r="49">
      <c r="B49" t="inlineStr">
        <is>
          <t>READ THIS BEFORE USING THE ROW ABOVE: it is NOT an independent second method and it must not be taken as corroboration of the Gordon value. EV/EBITDA = EV/EBIT x (1 - D&amp;A/EBITDA) is an identity, and the exit multiple on Assumptions IS the peer median EV/EBIT read at this terminal year's own D&amp;A/EBITDA, so the EBITDA cancels and this row is exactly the peer median EV/EBIT x terminal EBIT — one peer statistic (the median of five is J D Wetherspoon alone) applied to the model's own EBIT. The two rows that follow are the proof. It builds no part of the enterprise value below.</t>
        </is>
      </c>
    </row>
    <row r="50">
      <c r="B50" t="inlineStr">
        <is>
          <t>Memo: exit-multiple TV / terminal EBIT (equals the peer median EV/EBIT)</t>
        </is>
      </c>
      <c r="C50" s="5">
        <f>'DCF'!$C$48/'DCF'!$C$36</f>
        <v/>
      </c>
    </row>
    <row r="51">
      <c r="B51" t="inlineStr">
        <is>
          <t>Memo: peer median EV/EBIT from Comps (the row above, to 2dp rounding)</t>
        </is>
      </c>
      <c r="C51" s="16">
        <f>'Comps'!$J$18</f>
        <v/>
      </c>
    </row>
    <row r="52">
      <c r="B52" t="inlineStr">
        <is>
          <t>Gordon terminal value / terminal EBITDA (the multiple Gordon implies)</t>
        </is>
      </c>
      <c r="C52" s="5">
        <f>'DCF'!$C$44/'DCF'!$C$34</f>
        <v/>
      </c>
    </row>
    <row r="53">
      <c r="B53" t="inlineStr">
        <is>
          <t>Gordon terminal value / terminal EBIT (the like-for-like peer comparison)</t>
        </is>
      </c>
      <c r="C53" s="5">
        <f>'DCF'!$C$44/'DCF'!$C$36</f>
        <v/>
      </c>
    </row>
    <row r="54">
      <c r="B54" t="inlineStr">
        <is>
          <t>The comparison to make against the peer set is the EV/EBIT one, not the EV/EBITDA one. The model deliberately builds a more capital-intensive Greggs by FY2030, and a higher D&amp;A share mechanically lowers the coherent EBITDA multiple without saying anything about rating: across the three scenarios the Gordon terminal value sits 14% to 26% below the peer median on EV/EBIT against 17% to 50% below on EV/EBITDA. What is left after that artefact is a real disagreement about terminal reinvestment intensity, and it is not tuned away.</t>
        </is>
      </c>
    </row>
    <row r="56">
      <c r="A56" s="1" t="inlineStr">
        <is>
          <t>Enterprise value and the bridge to equity</t>
        </is>
      </c>
    </row>
    <row r="57">
      <c r="B57" t="inlineStr">
        <is>
          <t>PV of the explicit forecast period</t>
        </is>
      </c>
      <c r="C57" s="4">
        <f>'DCF'!F17+'DCF'!G17+'DCF'!H17+'DCF'!I17+'DCF'!J17</f>
        <v/>
      </c>
    </row>
    <row r="58">
      <c r="B58" t="inlineStr">
        <is>
          <t>PV of the terminal value (Gordon plus the excess PP&amp;E shield)</t>
        </is>
      </c>
      <c r="C58" s="4">
        <f>('DCF'!$C$44+'DCF'!$C$47)/'DCF'!J16</f>
        <v/>
      </c>
    </row>
    <row r="59">
      <c r="B59" t="inlineStr">
        <is>
          <t>Enterprise value</t>
        </is>
      </c>
      <c r="C59" s="4">
        <f>'DCF'!$C$57+'DCF'!$C$58</f>
        <v/>
      </c>
    </row>
    <row r="60">
      <c r="B60" t="inlineStr">
        <is>
          <t>Terminal value as a share of enterprise value</t>
        </is>
      </c>
      <c r="C60" s="10">
        <f>'DCF'!$C$58/'DCF'!$C$59</f>
        <v/>
      </c>
    </row>
    <row r="61">
      <c r="B61" t="inlineStr">
        <is>
          <t>Net debt at FY2025 (borrowings less cash, excluding leases)</t>
        </is>
      </c>
      <c r="C61" s="4">
        <f>'Historicals'!E31-'Historicals'!E25</f>
        <v/>
      </c>
    </row>
    <row r="62">
      <c r="B62" t="inlineStr">
        <is>
          <t>Lease liabilities at FY2025 (deducted as debt, as in the WACC weight)</t>
        </is>
      </c>
      <c r="C62" s="14">
        <f>'Historicals'!E30</f>
        <v/>
      </c>
    </row>
    <row r="63">
      <c r="B63" t="inlineStr">
        <is>
          <t>Equity value</t>
        </is>
      </c>
      <c r="C63" s="4">
        <f>'DCF'!$C$59-'DCF'!$C$61-'DCF'!$C$62</f>
        <v/>
      </c>
    </row>
    <row r="64">
      <c r="B64" t="inlineStr">
        <is>
          <t>Shares in issue (weighted average diluted, m)</t>
        </is>
      </c>
      <c r="C64" s="17">
        <f>'Historicals'!E44</f>
        <v/>
      </c>
    </row>
    <row r="65">
      <c r="B65" t="inlineStr">
        <is>
          <t>Implied share price (p)</t>
        </is>
      </c>
      <c r="C65" s="18">
        <f>'DCF'!$C$63/'DCF'!$C$64*100</f>
        <v/>
      </c>
    </row>
    <row r="66">
      <c r="B66" t="inlineStr">
        <is>
          <t>Implied share price against the traded price on Comps</t>
        </is>
      </c>
      <c r="C66" s="10">
        <f>'DCF'!$C$65/'Comps'!$C$24-1</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Sensitivity — every cell recomputed from its own axis pair</t>
        </is>
      </c>
    </row>
    <row r="3">
      <c r="A3" s="1" t="inlineStr">
        <is>
          <t>Implied share price (p) — perpetuity growth across, WACC down. The centre cell is the DCF's own answer.</t>
        </is>
      </c>
    </row>
    <row r="4">
      <c r="B4" t="inlineStr">
        <is>
          <t>Perpetuity growth (across)</t>
        </is>
      </c>
      <c r="D4" s="10">
        <f>'DCF'!$C$21-0.005</f>
        <v/>
      </c>
      <c r="E4" s="10">
        <f>'DCF'!$C$21-0.0025</f>
        <v/>
      </c>
      <c r="F4" s="10">
        <f>'DCF'!$C$21</f>
        <v/>
      </c>
      <c r="G4" s="10">
        <f>'DCF'!$C$21+0.0025</f>
        <v/>
      </c>
      <c r="H4" s="10">
        <f>'DCF'!$C$21+0.005</f>
        <v/>
      </c>
    </row>
    <row r="5">
      <c r="B5" t="inlineStr">
        <is>
          <t>WACC less 100bp</t>
        </is>
      </c>
      <c r="C5" s="10">
        <f>'DCF'!$C$5-0.01</f>
        <v/>
      </c>
      <c r="D5" s="18">
        <f>('DCF'!$F$14/(1+$C5)^'DCF'!$F$15+'DCF'!$G$14/(1+$C5)^'DCF'!$G$15+'DCF'!$H$14/(1+$C5)^'DCF'!$H$15+'DCF'!$I$14/(1+$C5)^'DCF'!$I$15+'DCF'!$J$14/(1+$C5)^'DCF'!$J$15+('Sensitivity'!D26*(1+D$4)/($C5-D$4)+'Assumptions'!$C$39*'Assumptions'!$C$37*'Sensitivity'!D27*(1-'Assumptions'!$C$37)/(1+$C5)/(1-(1-'Assumptions'!$C$37)/(1+$C5)))/(1+$C5)^'DCF'!$J$15-'DCF'!$C$61-'DCF'!$C$62)/'DCF'!$C$64*100</f>
        <v/>
      </c>
      <c r="E5" s="18">
        <f>('DCF'!$F$14/(1+$C5)^'DCF'!$F$15+'DCF'!$G$14/(1+$C5)^'DCF'!$G$15+'DCF'!$H$14/(1+$C5)^'DCF'!$H$15+'DCF'!$I$14/(1+$C5)^'DCF'!$I$15+'DCF'!$J$14/(1+$C5)^'DCF'!$J$15+('Sensitivity'!E26*(1+E$4)/($C5-E$4)+'Assumptions'!$C$39*'Assumptions'!$C$37*'Sensitivity'!E27*(1-'Assumptions'!$C$37)/(1+$C5)/(1-(1-'Assumptions'!$C$37)/(1+$C5)))/(1+$C5)^'DCF'!$J$15-'DCF'!$C$61-'DCF'!$C$62)/'DCF'!$C$64*100</f>
        <v/>
      </c>
      <c r="F5" s="18">
        <f>('DCF'!$F$14/(1+$C5)^'DCF'!$F$15+'DCF'!$G$14/(1+$C5)^'DCF'!$G$15+'DCF'!$H$14/(1+$C5)^'DCF'!$H$15+'DCF'!$I$14/(1+$C5)^'DCF'!$I$15+'DCF'!$J$14/(1+$C5)^'DCF'!$J$15+('Sensitivity'!F26*(1+F$4)/($C5-F$4)+'Assumptions'!$C$39*'Assumptions'!$C$37*'Sensitivity'!F27*(1-'Assumptions'!$C$37)/(1+$C5)/(1-(1-'Assumptions'!$C$37)/(1+$C5)))/(1+$C5)^'DCF'!$J$15-'DCF'!$C$61-'DCF'!$C$62)/'DCF'!$C$64*100</f>
        <v/>
      </c>
      <c r="G5" s="18">
        <f>('DCF'!$F$14/(1+$C5)^'DCF'!$F$15+'DCF'!$G$14/(1+$C5)^'DCF'!$G$15+'DCF'!$H$14/(1+$C5)^'DCF'!$H$15+'DCF'!$I$14/(1+$C5)^'DCF'!$I$15+'DCF'!$J$14/(1+$C5)^'DCF'!$J$15+('Sensitivity'!G26*(1+G$4)/($C5-G$4)+'Assumptions'!$C$39*'Assumptions'!$C$37*'Sensitivity'!G27*(1-'Assumptions'!$C$37)/(1+$C5)/(1-(1-'Assumptions'!$C$37)/(1+$C5)))/(1+$C5)^'DCF'!$J$15-'DCF'!$C$61-'DCF'!$C$62)/'DCF'!$C$64*100</f>
        <v/>
      </c>
      <c r="H5" s="18">
        <f>('DCF'!$F$14/(1+$C5)^'DCF'!$F$15+'DCF'!$G$14/(1+$C5)^'DCF'!$G$15+'DCF'!$H$14/(1+$C5)^'DCF'!$H$15+'DCF'!$I$14/(1+$C5)^'DCF'!$I$15+'DCF'!$J$14/(1+$C5)^'DCF'!$J$15+('Sensitivity'!H26*(1+H$4)/($C5-H$4)+'Assumptions'!$C$39*'Assumptions'!$C$37*'Sensitivity'!H27*(1-'Assumptions'!$C$37)/(1+$C5)/(1-(1-'Assumptions'!$C$37)/(1+$C5)))/(1+$C5)^'DCF'!$J$15-'DCF'!$C$61-'DCF'!$C$62)/'DCF'!$C$64*100</f>
        <v/>
      </c>
    </row>
    <row r="6">
      <c r="B6" t="inlineStr">
        <is>
          <t>WACC less 50bp</t>
        </is>
      </c>
      <c r="C6" s="10">
        <f>'DCF'!$C$5-0.005</f>
        <v/>
      </c>
      <c r="D6" s="18">
        <f>('DCF'!$F$14/(1+$C6)^'DCF'!$F$15+'DCF'!$G$14/(1+$C6)^'DCF'!$G$15+'DCF'!$H$14/(1+$C6)^'DCF'!$H$15+'DCF'!$I$14/(1+$C6)^'DCF'!$I$15+'DCF'!$J$14/(1+$C6)^'DCF'!$J$15+('Sensitivity'!D26*(1+D$4)/($C6-D$4)+'Assumptions'!$C$39*'Assumptions'!$C$37*'Sensitivity'!D27*(1-'Assumptions'!$C$37)/(1+$C6)/(1-(1-'Assumptions'!$C$37)/(1+$C6)))/(1+$C6)^'DCF'!$J$15-'DCF'!$C$61-'DCF'!$C$62)/'DCF'!$C$64*100</f>
        <v/>
      </c>
      <c r="E6" s="18">
        <f>('DCF'!$F$14/(1+$C6)^'DCF'!$F$15+'DCF'!$G$14/(1+$C6)^'DCF'!$G$15+'DCF'!$H$14/(1+$C6)^'DCF'!$H$15+'DCF'!$I$14/(1+$C6)^'DCF'!$I$15+'DCF'!$J$14/(1+$C6)^'DCF'!$J$15+('Sensitivity'!E26*(1+E$4)/($C6-E$4)+'Assumptions'!$C$39*'Assumptions'!$C$37*'Sensitivity'!E27*(1-'Assumptions'!$C$37)/(1+$C6)/(1-(1-'Assumptions'!$C$37)/(1+$C6)))/(1+$C6)^'DCF'!$J$15-'DCF'!$C$61-'DCF'!$C$62)/'DCF'!$C$64*100</f>
        <v/>
      </c>
      <c r="F6" s="18">
        <f>('DCF'!$F$14/(1+$C6)^'DCF'!$F$15+'DCF'!$G$14/(1+$C6)^'DCF'!$G$15+'DCF'!$H$14/(1+$C6)^'DCF'!$H$15+'DCF'!$I$14/(1+$C6)^'DCF'!$I$15+'DCF'!$J$14/(1+$C6)^'DCF'!$J$15+('Sensitivity'!F26*(1+F$4)/($C6-F$4)+'Assumptions'!$C$39*'Assumptions'!$C$37*'Sensitivity'!F27*(1-'Assumptions'!$C$37)/(1+$C6)/(1-(1-'Assumptions'!$C$37)/(1+$C6)))/(1+$C6)^'DCF'!$J$15-'DCF'!$C$61-'DCF'!$C$62)/'DCF'!$C$64*100</f>
        <v/>
      </c>
      <c r="G6" s="18">
        <f>('DCF'!$F$14/(1+$C6)^'DCF'!$F$15+'DCF'!$G$14/(1+$C6)^'DCF'!$G$15+'DCF'!$H$14/(1+$C6)^'DCF'!$H$15+'DCF'!$I$14/(1+$C6)^'DCF'!$I$15+'DCF'!$J$14/(1+$C6)^'DCF'!$J$15+('Sensitivity'!G26*(1+G$4)/($C6-G$4)+'Assumptions'!$C$39*'Assumptions'!$C$37*'Sensitivity'!G27*(1-'Assumptions'!$C$37)/(1+$C6)/(1-(1-'Assumptions'!$C$37)/(1+$C6)))/(1+$C6)^'DCF'!$J$15-'DCF'!$C$61-'DCF'!$C$62)/'DCF'!$C$64*100</f>
        <v/>
      </c>
      <c r="H6" s="18">
        <f>('DCF'!$F$14/(1+$C6)^'DCF'!$F$15+'DCF'!$G$14/(1+$C6)^'DCF'!$G$15+'DCF'!$H$14/(1+$C6)^'DCF'!$H$15+'DCF'!$I$14/(1+$C6)^'DCF'!$I$15+'DCF'!$J$14/(1+$C6)^'DCF'!$J$15+('Sensitivity'!H26*(1+H$4)/($C6-H$4)+'Assumptions'!$C$39*'Assumptions'!$C$37*'Sensitivity'!H27*(1-'Assumptions'!$C$37)/(1+$C6)/(1-(1-'Assumptions'!$C$37)/(1+$C6)))/(1+$C6)^'DCF'!$J$15-'DCF'!$C$61-'DCF'!$C$62)/'DCF'!$C$64*100</f>
        <v/>
      </c>
    </row>
    <row r="7">
      <c r="B7" t="inlineStr">
        <is>
          <t>WACC (the model's own)</t>
        </is>
      </c>
      <c r="C7" s="10">
        <f>'DCF'!$C$5</f>
        <v/>
      </c>
      <c r="D7" s="18">
        <f>('DCF'!$F$14/(1+$C7)^'DCF'!$F$15+'DCF'!$G$14/(1+$C7)^'DCF'!$G$15+'DCF'!$H$14/(1+$C7)^'DCF'!$H$15+'DCF'!$I$14/(1+$C7)^'DCF'!$I$15+'DCF'!$J$14/(1+$C7)^'DCF'!$J$15+('Sensitivity'!D26*(1+D$4)/($C7-D$4)+'Assumptions'!$C$39*'Assumptions'!$C$37*'Sensitivity'!D27*(1-'Assumptions'!$C$37)/(1+$C7)/(1-(1-'Assumptions'!$C$37)/(1+$C7)))/(1+$C7)^'DCF'!$J$15-'DCF'!$C$61-'DCF'!$C$62)/'DCF'!$C$64*100</f>
        <v/>
      </c>
      <c r="E7" s="18">
        <f>('DCF'!$F$14/(1+$C7)^'DCF'!$F$15+'DCF'!$G$14/(1+$C7)^'DCF'!$G$15+'DCF'!$H$14/(1+$C7)^'DCF'!$H$15+'DCF'!$I$14/(1+$C7)^'DCF'!$I$15+'DCF'!$J$14/(1+$C7)^'DCF'!$J$15+('Sensitivity'!E26*(1+E$4)/($C7-E$4)+'Assumptions'!$C$39*'Assumptions'!$C$37*'Sensitivity'!E27*(1-'Assumptions'!$C$37)/(1+$C7)/(1-(1-'Assumptions'!$C$37)/(1+$C7)))/(1+$C7)^'DCF'!$J$15-'DCF'!$C$61-'DCF'!$C$62)/'DCF'!$C$64*100</f>
        <v/>
      </c>
      <c r="F7" s="18">
        <f>('DCF'!$F$14/(1+$C7)^'DCF'!$F$15+'DCF'!$G$14/(1+$C7)^'DCF'!$G$15+'DCF'!$H$14/(1+$C7)^'DCF'!$H$15+'DCF'!$I$14/(1+$C7)^'DCF'!$I$15+'DCF'!$J$14/(1+$C7)^'DCF'!$J$15+('Sensitivity'!F26*(1+F$4)/($C7-F$4)+'Assumptions'!$C$39*'Assumptions'!$C$37*'Sensitivity'!F27*(1-'Assumptions'!$C$37)/(1+$C7)/(1-(1-'Assumptions'!$C$37)/(1+$C7)))/(1+$C7)^'DCF'!$J$15-'DCF'!$C$61-'DCF'!$C$62)/'DCF'!$C$64*100</f>
        <v/>
      </c>
      <c r="G7" s="18">
        <f>('DCF'!$F$14/(1+$C7)^'DCF'!$F$15+'DCF'!$G$14/(1+$C7)^'DCF'!$G$15+'DCF'!$H$14/(1+$C7)^'DCF'!$H$15+'DCF'!$I$14/(1+$C7)^'DCF'!$I$15+'DCF'!$J$14/(1+$C7)^'DCF'!$J$15+('Sensitivity'!G26*(1+G$4)/($C7-G$4)+'Assumptions'!$C$39*'Assumptions'!$C$37*'Sensitivity'!G27*(1-'Assumptions'!$C$37)/(1+$C7)/(1-(1-'Assumptions'!$C$37)/(1+$C7)))/(1+$C7)^'DCF'!$J$15-'DCF'!$C$61-'DCF'!$C$62)/'DCF'!$C$64*100</f>
        <v/>
      </c>
      <c r="H7" s="18">
        <f>('DCF'!$F$14/(1+$C7)^'DCF'!$F$15+'DCF'!$G$14/(1+$C7)^'DCF'!$G$15+'DCF'!$H$14/(1+$C7)^'DCF'!$H$15+'DCF'!$I$14/(1+$C7)^'DCF'!$I$15+'DCF'!$J$14/(1+$C7)^'DCF'!$J$15+('Sensitivity'!H26*(1+H$4)/($C7-H$4)+'Assumptions'!$C$39*'Assumptions'!$C$37*'Sensitivity'!H27*(1-'Assumptions'!$C$37)/(1+$C7)/(1-(1-'Assumptions'!$C$37)/(1+$C7)))/(1+$C7)^'DCF'!$J$15-'DCF'!$C$61-'DCF'!$C$62)/'DCF'!$C$64*100</f>
        <v/>
      </c>
    </row>
    <row r="8">
      <c r="B8" t="inlineStr">
        <is>
          <t>WACC plus 50bp</t>
        </is>
      </c>
      <c r="C8" s="10">
        <f>'DCF'!$C$5+0.005</f>
        <v/>
      </c>
      <c r="D8" s="18">
        <f>('DCF'!$F$14/(1+$C8)^'DCF'!$F$15+'DCF'!$G$14/(1+$C8)^'DCF'!$G$15+'DCF'!$H$14/(1+$C8)^'DCF'!$H$15+'DCF'!$I$14/(1+$C8)^'DCF'!$I$15+'DCF'!$J$14/(1+$C8)^'DCF'!$J$15+('Sensitivity'!D26*(1+D$4)/($C8-D$4)+'Assumptions'!$C$39*'Assumptions'!$C$37*'Sensitivity'!D27*(1-'Assumptions'!$C$37)/(1+$C8)/(1-(1-'Assumptions'!$C$37)/(1+$C8)))/(1+$C8)^'DCF'!$J$15-'DCF'!$C$61-'DCF'!$C$62)/'DCF'!$C$64*100</f>
        <v/>
      </c>
      <c r="E8" s="18">
        <f>('DCF'!$F$14/(1+$C8)^'DCF'!$F$15+'DCF'!$G$14/(1+$C8)^'DCF'!$G$15+'DCF'!$H$14/(1+$C8)^'DCF'!$H$15+'DCF'!$I$14/(1+$C8)^'DCF'!$I$15+'DCF'!$J$14/(1+$C8)^'DCF'!$J$15+('Sensitivity'!E26*(1+E$4)/($C8-E$4)+'Assumptions'!$C$39*'Assumptions'!$C$37*'Sensitivity'!E27*(1-'Assumptions'!$C$37)/(1+$C8)/(1-(1-'Assumptions'!$C$37)/(1+$C8)))/(1+$C8)^'DCF'!$J$15-'DCF'!$C$61-'DCF'!$C$62)/'DCF'!$C$64*100</f>
        <v/>
      </c>
      <c r="F8" s="18">
        <f>('DCF'!$F$14/(1+$C8)^'DCF'!$F$15+'DCF'!$G$14/(1+$C8)^'DCF'!$G$15+'DCF'!$H$14/(1+$C8)^'DCF'!$H$15+'DCF'!$I$14/(1+$C8)^'DCF'!$I$15+'DCF'!$J$14/(1+$C8)^'DCF'!$J$15+('Sensitivity'!F26*(1+F$4)/($C8-F$4)+'Assumptions'!$C$39*'Assumptions'!$C$37*'Sensitivity'!F27*(1-'Assumptions'!$C$37)/(1+$C8)/(1-(1-'Assumptions'!$C$37)/(1+$C8)))/(1+$C8)^'DCF'!$J$15-'DCF'!$C$61-'DCF'!$C$62)/'DCF'!$C$64*100</f>
        <v/>
      </c>
      <c r="G8" s="18">
        <f>('DCF'!$F$14/(1+$C8)^'DCF'!$F$15+'DCF'!$G$14/(1+$C8)^'DCF'!$G$15+'DCF'!$H$14/(1+$C8)^'DCF'!$H$15+'DCF'!$I$14/(1+$C8)^'DCF'!$I$15+'DCF'!$J$14/(1+$C8)^'DCF'!$J$15+('Sensitivity'!G26*(1+G$4)/($C8-G$4)+'Assumptions'!$C$39*'Assumptions'!$C$37*'Sensitivity'!G27*(1-'Assumptions'!$C$37)/(1+$C8)/(1-(1-'Assumptions'!$C$37)/(1+$C8)))/(1+$C8)^'DCF'!$J$15-'DCF'!$C$61-'DCF'!$C$62)/'DCF'!$C$64*100</f>
        <v/>
      </c>
      <c r="H8" s="18">
        <f>('DCF'!$F$14/(1+$C8)^'DCF'!$F$15+'DCF'!$G$14/(1+$C8)^'DCF'!$G$15+'DCF'!$H$14/(1+$C8)^'DCF'!$H$15+'DCF'!$I$14/(1+$C8)^'DCF'!$I$15+'DCF'!$J$14/(1+$C8)^'DCF'!$J$15+('Sensitivity'!H26*(1+H$4)/($C8-H$4)+'Assumptions'!$C$39*'Assumptions'!$C$37*'Sensitivity'!H27*(1-'Assumptions'!$C$37)/(1+$C8)/(1-(1-'Assumptions'!$C$37)/(1+$C8)))/(1+$C8)^'DCF'!$J$15-'DCF'!$C$61-'DCF'!$C$62)/'DCF'!$C$64*100</f>
        <v/>
      </c>
    </row>
    <row r="9">
      <c r="B9" t="inlineStr">
        <is>
          <t>WACC plus 100bp</t>
        </is>
      </c>
      <c r="C9" s="10">
        <f>'DCF'!$C$5+0.01</f>
        <v/>
      </c>
      <c r="D9" s="18">
        <f>('DCF'!$F$14/(1+$C9)^'DCF'!$F$15+'DCF'!$G$14/(1+$C9)^'DCF'!$G$15+'DCF'!$H$14/(1+$C9)^'DCF'!$H$15+'DCF'!$I$14/(1+$C9)^'DCF'!$I$15+'DCF'!$J$14/(1+$C9)^'DCF'!$J$15+('Sensitivity'!D26*(1+D$4)/($C9-D$4)+'Assumptions'!$C$39*'Assumptions'!$C$37*'Sensitivity'!D27*(1-'Assumptions'!$C$37)/(1+$C9)/(1-(1-'Assumptions'!$C$37)/(1+$C9)))/(1+$C9)^'DCF'!$J$15-'DCF'!$C$61-'DCF'!$C$62)/'DCF'!$C$64*100</f>
        <v/>
      </c>
      <c r="E9" s="18">
        <f>('DCF'!$F$14/(1+$C9)^'DCF'!$F$15+'DCF'!$G$14/(1+$C9)^'DCF'!$G$15+'DCF'!$H$14/(1+$C9)^'DCF'!$H$15+'DCF'!$I$14/(1+$C9)^'DCF'!$I$15+'DCF'!$J$14/(1+$C9)^'DCF'!$J$15+('Sensitivity'!E26*(1+E$4)/($C9-E$4)+'Assumptions'!$C$39*'Assumptions'!$C$37*'Sensitivity'!E27*(1-'Assumptions'!$C$37)/(1+$C9)/(1-(1-'Assumptions'!$C$37)/(1+$C9)))/(1+$C9)^'DCF'!$J$15-'DCF'!$C$61-'DCF'!$C$62)/'DCF'!$C$64*100</f>
        <v/>
      </c>
      <c r="F9" s="18">
        <f>('DCF'!$F$14/(1+$C9)^'DCF'!$F$15+'DCF'!$G$14/(1+$C9)^'DCF'!$G$15+'DCF'!$H$14/(1+$C9)^'DCF'!$H$15+'DCF'!$I$14/(1+$C9)^'DCF'!$I$15+'DCF'!$J$14/(1+$C9)^'DCF'!$J$15+('Sensitivity'!F26*(1+F$4)/($C9-F$4)+'Assumptions'!$C$39*'Assumptions'!$C$37*'Sensitivity'!F27*(1-'Assumptions'!$C$37)/(1+$C9)/(1-(1-'Assumptions'!$C$37)/(1+$C9)))/(1+$C9)^'DCF'!$J$15-'DCF'!$C$61-'DCF'!$C$62)/'DCF'!$C$64*100</f>
        <v/>
      </c>
      <c r="G9" s="18">
        <f>('DCF'!$F$14/(1+$C9)^'DCF'!$F$15+'DCF'!$G$14/(1+$C9)^'DCF'!$G$15+'DCF'!$H$14/(1+$C9)^'DCF'!$H$15+'DCF'!$I$14/(1+$C9)^'DCF'!$I$15+'DCF'!$J$14/(1+$C9)^'DCF'!$J$15+('Sensitivity'!G26*(1+G$4)/($C9-G$4)+'Assumptions'!$C$39*'Assumptions'!$C$37*'Sensitivity'!G27*(1-'Assumptions'!$C$37)/(1+$C9)/(1-(1-'Assumptions'!$C$37)/(1+$C9)))/(1+$C9)^'DCF'!$J$15-'DCF'!$C$61-'DCF'!$C$62)/'DCF'!$C$64*100</f>
        <v/>
      </c>
      <c r="H9" s="18">
        <f>('DCF'!$F$14/(1+$C9)^'DCF'!$F$15+'DCF'!$G$14/(1+$C9)^'DCF'!$G$15+'DCF'!$H$14/(1+$C9)^'DCF'!$H$15+'DCF'!$I$14/(1+$C9)^'DCF'!$I$15+'DCF'!$J$14/(1+$C9)^'DCF'!$J$15+('Sensitivity'!H26*(1+H$4)/($C9-H$4)+'Assumptions'!$C$39*'Assumptions'!$C$37*'Sensitivity'!H27*(1-'Assumptions'!$C$37)/(1+$C9)/(1-(1-'Assumptions'!$C$37)/(1+$C9)))/(1+$C9)^'DCF'!$J$15-'DCF'!$C$61-'DCF'!$C$62)/'DCF'!$C$64*100</f>
        <v/>
      </c>
    </row>
    <row r="11">
      <c r="A11" s="1" t="inlineStr">
        <is>
          <t>Implied terminal EV/EBITDA — the same pairs, read as the multiple the Gordon value puts on terminal EBITDA</t>
        </is>
      </c>
    </row>
    <row r="12">
      <c r="B12" t="inlineStr">
        <is>
          <t>Implied terminal multiple at WACC less 100bp</t>
        </is>
      </c>
      <c r="C12" s="10">
        <f>'DCF'!$C$5-0.01</f>
        <v/>
      </c>
      <c r="D12" s="5">
        <f>'Sensitivity'!D26*(1+D$4)/($C12-D$4)/'DCF'!$C$34</f>
        <v/>
      </c>
      <c r="E12" s="5">
        <f>'Sensitivity'!E26*(1+E$4)/($C12-E$4)/'DCF'!$C$34</f>
        <v/>
      </c>
      <c r="F12" s="5">
        <f>'Sensitivity'!F26*(1+F$4)/($C12-F$4)/'DCF'!$C$34</f>
        <v/>
      </c>
      <c r="G12" s="5">
        <f>'Sensitivity'!G26*(1+G$4)/($C12-G$4)/'DCF'!$C$34</f>
        <v/>
      </c>
      <c r="H12" s="5">
        <f>'Sensitivity'!H26*(1+H$4)/($C12-H$4)/'DCF'!$C$34</f>
        <v/>
      </c>
    </row>
    <row r="13">
      <c r="B13" t="inlineStr">
        <is>
          <t>Implied terminal multiple at WACC less 50bp</t>
        </is>
      </c>
      <c r="C13" s="10">
        <f>'DCF'!$C$5-0.005</f>
        <v/>
      </c>
      <c r="D13" s="5">
        <f>'Sensitivity'!D26*(1+D$4)/($C13-D$4)/'DCF'!$C$34</f>
        <v/>
      </c>
      <c r="E13" s="5">
        <f>'Sensitivity'!E26*(1+E$4)/($C13-E$4)/'DCF'!$C$34</f>
        <v/>
      </c>
      <c r="F13" s="5">
        <f>'Sensitivity'!F26*(1+F$4)/($C13-F$4)/'DCF'!$C$34</f>
        <v/>
      </c>
      <c r="G13" s="5">
        <f>'Sensitivity'!G26*(1+G$4)/($C13-G$4)/'DCF'!$C$34</f>
        <v/>
      </c>
      <c r="H13" s="5">
        <f>'Sensitivity'!H26*(1+H$4)/($C13-H$4)/'DCF'!$C$34</f>
        <v/>
      </c>
    </row>
    <row r="14">
      <c r="B14" t="inlineStr">
        <is>
          <t>Implied terminal multiple at WACC (the model's own)</t>
        </is>
      </c>
      <c r="C14" s="10">
        <f>'DCF'!$C$5</f>
        <v/>
      </c>
      <c r="D14" s="5">
        <f>'Sensitivity'!D26*(1+D$4)/($C14-D$4)/'DCF'!$C$34</f>
        <v/>
      </c>
      <c r="E14" s="5">
        <f>'Sensitivity'!E26*(1+E$4)/($C14-E$4)/'DCF'!$C$34</f>
        <v/>
      </c>
      <c r="F14" s="5">
        <f>'Sensitivity'!F26*(1+F$4)/($C14-F$4)/'DCF'!$C$34</f>
        <v/>
      </c>
      <c r="G14" s="5">
        <f>'Sensitivity'!G26*(1+G$4)/($C14-G$4)/'DCF'!$C$34</f>
        <v/>
      </c>
      <c r="H14" s="5">
        <f>'Sensitivity'!H26*(1+H$4)/($C14-H$4)/'DCF'!$C$34</f>
        <v/>
      </c>
    </row>
    <row r="15">
      <c r="B15" t="inlineStr">
        <is>
          <t>Implied terminal multiple at WACC plus 50bp</t>
        </is>
      </c>
      <c r="C15" s="10">
        <f>'DCF'!$C$5+0.005</f>
        <v/>
      </c>
      <c r="D15" s="5">
        <f>'Sensitivity'!D26*(1+D$4)/($C15-D$4)/'DCF'!$C$34</f>
        <v/>
      </c>
      <c r="E15" s="5">
        <f>'Sensitivity'!E26*(1+E$4)/($C15-E$4)/'DCF'!$C$34</f>
        <v/>
      </c>
      <c r="F15" s="5">
        <f>'Sensitivity'!F26*(1+F$4)/($C15-F$4)/'DCF'!$C$34</f>
        <v/>
      </c>
      <c r="G15" s="5">
        <f>'Sensitivity'!G26*(1+G$4)/($C15-G$4)/'DCF'!$C$34</f>
        <v/>
      </c>
      <c r="H15" s="5">
        <f>'Sensitivity'!H26*(1+H$4)/($C15-H$4)/'DCF'!$C$34</f>
        <v/>
      </c>
    </row>
    <row r="16">
      <c r="B16" t="inlineStr">
        <is>
          <t>Implied terminal multiple at WACC plus 100bp</t>
        </is>
      </c>
      <c r="C16" s="10">
        <f>'DCF'!$C$5+0.01</f>
        <v/>
      </c>
      <c r="D16" s="5">
        <f>'Sensitivity'!D26*(1+D$4)/($C16-D$4)/'DCF'!$C$34</f>
        <v/>
      </c>
      <c r="E16" s="5">
        <f>'Sensitivity'!E26*(1+E$4)/($C16-E$4)/'DCF'!$C$34</f>
        <v/>
      </c>
      <c r="F16" s="5">
        <f>'Sensitivity'!F26*(1+F$4)/($C16-F$4)/'DCF'!$C$34</f>
        <v/>
      </c>
      <c r="G16" s="5">
        <f>'Sensitivity'!G26*(1+G$4)/($C16-G$4)/'DCF'!$C$34</f>
        <v/>
      </c>
      <c r="H16" s="5">
        <f>'Sensitivity'!H26*(1+H$4)/($C16-H$4)/'DCF'!$C$34</f>
        <v/>
      </c>
    </row>
    <row r="17">
      <c r="B17" t="inlineStr">
        <is>
          <t>For comparison: peer median EV/EBITDA (a TRAILING multiple, from Comps)</t>
        </is>
      </c>
      <c r="C17" s="16">
        <f>'Comps'!$J$17</f>
        <v/>
      </c>
    </row>
    <row r="18">
      <c r="B18" t="inlineStr">
        <is>
          <t>For comparison: exit EV/EBITDA derived from the peer median EV/EBIT</t>
        </is>
      </c>
      <c r="C18" s="16">
        <f>'Comps'!$C$55</f>
        <v/>
      </c>
    </row>
    <row r="20">
      <c r="A20" s="1" t="inlineStr">
        <is>
          <t>Workings — the terminal year rebuilt at each growth rate above, one column per rate, aligned with the grids</t>
        </is>
      </c>
    </row>
    <row r="21">
      <c r="B21" t="inlineStr">
        <is>
          <t>Terminal PP&amp;E / revenue (post-programme anchor at this growth rate)</t>
        </is>
      </c>
      <c r="D21" s="10">
        <f>('BS'!J3/'IS'!J3)/(1+D$4)^(1/'Assumptions'!$C$37)</f>
        <v/>
      </c>
      <c r="E21" s="10">
        <f>('BS'!J3/'IS'!J3)/(1+E$4)^(1/'Assumptions'!$C$37)</f>
        <v/>
      </c>
      <c r="F21" s="10">
        <f>('BS'!J3/'IS'!J3)/(1+F$4)^(1/'Assumptions'!$C$37)</f>
        <v/>
      </c>
      <c r="G21" s="10">
        <f>('BS'!J3/'IS'!J3)/(1+G$4)^(1/'Assumptions'!$C$37)</f>
        <v/>
      </c>
      <c r="H21" s="10">
        <f>('BS'!J3/'IS'!J3)/(1+H$4)^(1/'Assumptions'!$C$37)</f>
        <v/>
      </c>
    </row>
    <row r="22">
      <c r="B22" t="inlineStr">
        <is>
          <t>Terminal total capex (% of revenue, sustaining at this growth rate)</t>
        </is>
      </c>
      <c r="D22" s="10">
        <f>'Sensitivity'!D21*(D$4+'Assumptions'!$C$37)/(1+D$4)/'Assumptions'!$C$59</f>
        <v/>
      </c>
      <c r="E22" s="10">
        <f>'Sensitivity'!E21*(E$4+'Assumptions'!$C$37)/(1+E$4)/'Assumptions'!$C$59</f>
        <v/>
      </c>
      <c r="F22" s="10">
        <f>'Sensitivity'!F21*(F$4+'Assumptions'!$C$37)/(1+F$4)/'Assumptions'!$C$59</f>
        <v/>
      </c>
      <c r="G22" s="10">
        <f>'Sensitivity'!G21*(G$4+'Assumptions'!$C$37)/(1+G$4)/'Assumptions'!$C$59</f>
        <v/>
      </c>
      <c r="H22" s="10">
        <f>'Sensitivity'!H21*(H$4+'Assumptions'!$C$37)/(1+H$4)/'Assumptions'!$C$59</f>
        <v/>
      </c>
    </row>
    <row r="23">
      <c r="B23" t="inlineStr">
        <is>
          <t>Terminal D&amp;A (% of revenue: PP&amp;E + ROU depreciation + amortisation)</t>
        </is>
      </c>
      <c r="D23" s="10">
        <f>'Assumptions'!$C$37*'Sensitivity'!D21/(1+D$4)+'Assumptions'!$C$38*'DCF'!$C$23/(1+D$4)+'Sensitivity'!D22*'Assumptions'!$C$58*'Assumptions'!$C$60/(D$4+'Assumptions'!$C$60)</f>
        <v/>
      </c>
      <c r="E23" s="10">
        <f>'Assumptions'!$C$37*'Sensitivity'!E21/(1+E$4)+'Assumptions'!$C$38*'DCF'!$C$23/(1+E$4)+'Sensitivity'!E22*'Assumptions'!$C$58*'Assumptions'!$C$60/(E$4+'Assumptions'!$C$60)</f>
        <v/>
      </c>
      <c r="F23" s="10">
        <f>'Assumptions'!$C$37*'Sensitivity'!F21/(1+F$4)+'Assumptions'!$C$38*'DCF'!$C$23/(1+F$4)+'Sensitivity'!F22*'Assumptions'!$C$58*'Assumptions'!$C$60/(F$4+'Assumptions'!$C$60)</f>
        <v/>
      </c>
      <c r="G23" s="10">
        <f>'Assumptions'!$C$37*'Sensitivity'!G21/(1+G$4)+'Assumptions'!$C$38*'DCF'!$C$23/(1+G$4)+'Sensitivity'!G22*'Assumptions'!$C$58*'Assumptions'!$C$60/(G$4+'Assumptions'!$C$60)</f>
        <v/>
      </c>
      <c r="H23" s="10">
        <f>'Assumptions'!$C$37*'Sensitivity'!H21/(1+H$4)+'Assumptions'!$C$38*'DCF'!$C$23/(1+H$4)+'Sensitivity'!H22*'Assumptions'!$C$58*'Assumptions'!$C$60/(H$4+'Assumptions'!$C$60)</f>
        <v/>
      </c>
    </row>
    <row r="24">
      <c r="B24" t="inlineStr">
        <is>
          <t>Terminal depreciation and amortisation</t>
        </is>
      </c>
      <c r="D24" s="4">
        <f>'Sensitivity'!D23*'DCF'!$C$32</f>
        <v/>
      </c>
      <c r="E24" s="4">
        <f>'Sensitivity'!E23*'DCF'!$C$32</f>
        <v/>
      </c>
      <c r="F24" s="4">
        <f>'Sensitivity'!F23*'DCF'!$C$32</f>
        <v/>
      </c>
      <c r="G24" s="4">
        <f>'Sensitivity'!G23*'DCF'!$C$32</f>
        <v/>
      </c>
      <c r="H24" s="4">
        <f>'Sensitivity'!H23*'DCF'!$C$32</f>
        <v/>
      </c>
    </row>
    <row r="25">
      <c r="B25" t="inlineStr">
        <is>
          <t>Terminal EBIT (terminal EBITDA less the D&amp;A above)</t>
        </is>
      </c>
      <c r="D25" s="4">
        <f>'DCF'!$C$34-'Sensitivity'!D24</f>
        <v/>
      </c>
      <c r="E25" s="4">
        <f>'DCF'!$C$34-'Sensitivity'!E24</f>
        <v/>
      </c>
      <c r="F25" s="4">
        <f>'DCF'!$C$34-'Sensitivity'!F24</f>
        <v/>
      </c>
      <c r="G25" s="4">
        <f>'DCF'!$C$34-'Sensitivity'!G24</f>
        <v/>
      </c>
      <c r="H25" s="4">
        <f>'DCF'!$C$34-'Sensitivity'!H24</f>
        <v/>
      </c>
    </row>
    <row r="26">
      <c r="B26" t="inlineStr">
        <is>
          <t>Terminal unlevered free cash flow</t>
        </is>
      </c>
      <c r="D26" s="4">
        <f>'Sensitivity'!D25*(1-'Assumptions'!$C$39)+'Sensitivity'!D24-'Sensitivity'!D22*'DCF'!$C$32-'DCF'!$C$23*(D$4+'Assumptions'!$C$38)/(1+D$4)*'DCF'!$C$32-'DCF'!$C$31*D$4/(1+D$4)*'DCF'!$C$32</f>
        <v/>
      </c>
      <c r="E26" s="4">
        <f>'Sensitivity'!E25*(1-'Assumptions'!$C$39)+'Sensitivity'!E24-'Sensitivity'!E22*'DCF'!$C$32-'DCF'!$C$23*(E$4+'Assumptions'!$C$38)/(1+E$4)*'DCF'!$C$32-'DCF'!$C$31*E$4/(1+E$4)*'DCF'!$C$32</f>
        <v/>
      </c>
      <c r="F26" s="4">
        <f>'Sensitivity'!F25*(1-'Assumptions'!$C$39)+'Sensitivity'!F24-'Sensitivity'!F22*'DCF'!$C$32-'DCF'!$C$23*(F$4+'Assumptions'!$C$38)/(1+F$4)*'DCF'!$C$32-'DCF'!$C$31*F$4/(1+F$4)*'DCF'!$C$32</f>
        <v/>
      </c>
      <c r="G26" s="4">
        <f>'Sensitivity'!G25*(1-'Assumptions'!$C$39)+'Sensitivity'!G24-'Sensitivity'!G22*'DCF'!$C$32-'DCF'!$C$23*(G$4+'Assumptions'!$C$38)/(1+G$4)*'DCF'!$C$32-'DCF'!$C$31*G$4/(1+G$4)*'DCF'!$C$32</f>
        <v/>
      </c>
      <c r="H26" s="4">
        <f>'Sensitivity'!H25*(1-'Assumptions'!$C$39)+'Sensitivity'!H24-'Sensitivity'!H22*'DCF'!$C$32-'DCF'!$C$23*(H$4+'Assumptions'!$C$38)/(1+H$4)*'DCF'!$C$32-'DCF'!$C$31*H$4/(1+H$4)*'DCF'!$C$32</f>
        <v/>
      </c>
    </row>
    <row r="27">
      <c r="B27" t="inlineStr">
        <is>
          <t>Excess PP&amp;E over this growth rate's re-based base, at FY2029</t>
        </is>
      </c>
      <c r="D27" s="4">
        <f>'BS'!I3-'Sensitivity'!D21*'IS'!I3</f>
        <v/>
      </c>
      <c r="E27" s="4">
        <f>'BS'!I3-'Sensitivity'!E21*'IS'!I3</f>
        <v/>
      </c>
      <c r="F27" s="4">
        <f>'BS'!I3-'Sensitivity'!F21*'IS'!I3</f>
        <v/>
      </c>
      <c r="G27" s="4">
        <f>'BS'!I3-'Sensitivity'!G21*'IS'!I3</f>
        <v/>
      </c>
      <c r="H27" s="4">
        <f>'BS'!I3-'Sensitivity'!H21*'IS'!I3</f>
        <v/>
      </c>
    </row>
    <row r="28">
      <c r="B28" t="inlineStr">
        <is>
          <t>Check: centre column's terminal FCF less the DCF's own (must be nil)</t>
        </is>
      </c>
      <c r="C28" s="4">
        <f>'Sensitivity'!F26-'DCF'!$C$40</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6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Trading comparables — five UK-listed peers, post-IFRS 16, £m</t>
        </is>
      </c>
    </row>
    <row r="2">
      <c r="C2" s="6" t="inlineStr">
        <is>
          <t>SSP Group</t>
        </is>
      </c>
      <c r="D2" s="6" t="inlineStr">
        <is>
          <t>Domino's Pizza Group</t>
        </is>
      </c>
      <c r="E2" s="6" t="inlineStr">
        <is>
          <t>J D Wetherspoon</t>
        </is>
      </c>
      <c r="F2" s="6" t="inlineStr">
        <is>
          <t>Mitchells &amp; Butlers</t>
        </is>
      </c>
      <c r="G2" s="6" t="inlineStr">
        <is>
          <t>Whitbread</t>
        </is>
      </c>
      <c r="I2" s="6" t="inlineStr">
        <is>
          <t>Peer min</t>
        </is>
      </c>
      <c r="J2" s="6" t="inlineStr">
        <is>
          <t>Peer median</t>
        </is>
      </c>
      <c r="K2" s="6" t="inlineStr">
        <is>
          <t>Peer max</t>
        </is>
      </c>
    </row>
    <row r="3">
      <c r="B3" t="inlineStr">
        <is>
          <t>Share price (pence)</t>
        </is>
      </c>
      <c r="C3" s="19" t="n">
        <v>212.4</v>
      </c>
      <c r="D3" s="19" t="n">
        <v>218</v>
      </c>
      <c r="E3" s="19" t="n">
        <v>814</v>
      </c>
      <c r="F3" s="19" t="n">
        <v>284.5</v>
      </c>
      <c r="G3" s="19" t="n">
        <v>2493</v>
      </c>
    </row>
    <row r="4">
      <c r="B4" t="inlineStr">
        <is>
          <t>Shares outstanding (m)</t>
        </is>
      </c>
      <c r="C4" s="11" t="n">
        <v>762.24</v>
      </c>
      <c r="D4" s="11" t="n">
        <v>381.16</v>
      </c>
      <c r="E4" s="11" t="n">
        <v>102.79</v>
      </c>
      <c r="F4" s="11" t="n">
        <v>593.9299999999999</v>
      </c>
      <c r="G4" s="11" t="n">
        <v>167.14</v>
      </c>
    </row>
    <row r="5">
      <c r="B5" t="inlineStr">
        <is>
          <t>Market capitalisation (£m)</t>
        </is>
      </c>
      <c r="C5" s="12" t="n">
        <v>1618.998</v>
      </c>
      <c r="D5" s="12" t="n">
        <v>830.929</v>
      </c>
      <c r="E5" s="12" t="n">
        <v>836.711</v>
      </c>
      <c r="F5" s="12" t="n">
        <v>1689.731</v>
      </c>
      <c r="G5" s="12" t="n">
        <v>4166.8</v>
      </c>
    </row>
    <row r="6">
      <c r="B6" t="inlineStr">
        <is>
          <t>Net debt including lease liabilities (£m)</t>
        </is>
      </c>
      <c r="C6" s="12" t="n">
        <v>1816.9</v>
      </c>
      <c r="D6" s="12" t="n">
        <v>524.7</v>
      </c>
      <c r="E6" s="12" t="n">
        <v>1129.1</v>
      </c>
      <c r="F6" s="12" t="n">
        <v>1277</v>
      </c>
      <c r="G6" s="12" t="n">
        <v>5232</v>
      </c>
    </row>
    <row r="7">
      <c r="B7" t="inlineStr">
        <is>
          <t xml:space="preserve">  of which lease liabilities (£m)</t>
        </is>
      </c>
      <c r="C7" s="12" t="n">
        <v>1242.7</v>
      </c>
      <c r="D7" s="12" t="n">
        <v>240.1</v>
      </c>
      <c r="E7" s="12" t="n">
        <v>407.2</v>
      </c>
      <c r="F7" s="12" t="n">
        <v>434</v>
      </c>
      <c r="G7" s="12" t="n">
        <v>4523.1</v>
      </c>
    </row>
    <row r="8">
      <c r="B8" t="inlineStr">
        <is>
          <t>Minority interests (£m, book value)</t>
        </is>
      </c>
      <c r="C8" s="12" t="n">
        <v>186.8</v>
      </c>
      <c r="D8" s="12" t="n">
        <v>-0.6</v>
      </c>
      <c r="E8" s="12" t="n">
        <v>0</v>
      </c>
      <c r="F8" s="12" t="n">
        <v>0</v>
      </c>
      <c r="G8" s="12" t="n">
        <v>0</v>
      </c>
    </row>
    <row r="9">
      <c r="B9" t="inlineStr">
        <is>
          <t>Enterprise value (£m)</t>
        </is>
      </c>
      <c r="C9" s="12" t="n">
        <v>3622.698</v>
      </c>
      <c r="D9" s="12" t="n">
        <v>1355.029</v>
      </c>
      <c r="E9" s="12" t="n">
        <v>1965.811</v>
      </c>
      <c r="F9" s="12" t="n">
        <v>2966.731</v>
      </c>
      <c r="G9" s="12" t="n">
        <v>9398.799999999999</v>
      </c>
    </row>
    <row r="10">
      <c r="B10" t="inlineStr">
        <is>
          <t>EBITDA (£m, post-IFRS 16, underlying)</t>
        </is>
      </c>
      <c r="C10" s="12" t="n">
        <v>687.2</v>
      </c>
      <c r="D10" s="12" t="n">
        <v>133.9</v>
      </c>
      <c r="E10" s="12" t="n">
        <v>260.8</v>
      </c>
      <c r="F10" s="12" t="n">
        <v>465</v>
      </c>
      <c r="G10" s="12" t="n">
        <v>1076</v>
      </c>
    </row>
    <row r="11">
      <c r="B11" t="inlineStr">
        <is>
          <t>EBIT (£m, post-IFRS 16, underlying)</t>
        </is>
      </c>
      <c r="C11" s="12" t="n">
        <v>269.1</v>
      </c>
      <c r="D11" s="12" t="n">
        <v>111.2</v>
      </c>
      <c r="E11" s="12" t="n">
        <v>146.4</v>
      </c>
      <c r="F11" s="12" t="n">
        <v>330</v>
      </c>
      <c r="G11" s="12" t="n">
        <v>649</v>
      </c>
    </row>
    <row r="12">
      <c r="B12" t="inlineStr">
        <is>
          <t>Net income (£m, statutory, attributable)</t>
        </is>
      </c>
      <c r="C12" s="12" t="n">
        <v>-74.40000000000001</v>
      </c>
      <c r="D12" s="12" t="n">
        <v>58.6</v>
      </c>
      <c r="E12" s="12" t="n">
        <v>68</v>
      </c>
      <c r="F12" s="12" t="n">
        <v>177</v>
      </c>
      <c r="G12" s="12" t="n">
        <v>212.9</v>
      </c>
    </row>
    <row r="13">
      <c r="B13" t="inlineStr">
        <is>
          <t>Check: price x shares less market capitalisation (£m, |x| &lt; 0.01)</t>
        </is>
      </c>
      <c r="C13" s="4">
        <f>'Comps'!C3/100*'Comps'!C4-'Comps'!C5</f>
        <v/>
      </c>
      <c r="D13" s="4">
        <f>'Comps'!D3/100*'Comps'!D4-'Comps'!D5</f>
        <v/>
      </c>
      <c r="E13" s="4">
        <f>'Comps'!E3/100*'Comps'!E4-'Comps'!E5</f>
        <v/>
      </c>
      <c r="F13" s="4">
        <f>'Comps'!F3/100*'Comps'!F4-'Comps'!F5</f>
        <v/>
      </c>
      <c r="G13" s="4">
        <f>'Comps'!G3/100*'Comps'!G4-'Comps'!G5</f>
        <v/>
      </c>
    </row>
    <row r="14">
      <c r="B14" t="inlineStr">
        <is>
          <t>Check: market cap + net debt + minorities less EV (£m, |x| &lt; 0.01)</t>
        </is>
      </c>
      <c r="C14" s="4">
        <f>'Comps'!C5+'Comps'!C6+'Comps'!C8-'Comps'!C9</f>
        <v/>
      </c>
      <c r="D14" s="4">
        <f>'Comps'!D5+'Comps'!D6+'Comps'!D8-'Comps'!D9</f>
        <v/>
      </c>
      <c r="E14" s="4">
        <f>'Comps'!E5+'Comps'!E6+'Comps'!E8-'Comps'!E9</f>
        <v/>
      </c>
      <c r="F14" s="4">
        <f>'Comps'!F5+'Comps'!F6+'Comps'!F8-'Comps'!F9</f>
        <v/>
      </c>
      <c r="G14" s="4">
        <f>'Comps'!G5+'Comps'!G6+'Comps'!G8-'Comps'!G9</f>
        <v/>
      </c>
    </row>
    <row r="15">
      <c r="B15" t="inlineStr">
        <is>
          <t>Implied D&amp;A (£m, EBITDA less EBIT)</t>
        </is>
      </c>
      <c r="C15" s="4">
        <f>'Comps'!C10-'Comps'!C11</f>
        <v/>
      </c>
      <c r="D15" s="4">
        <f>'Comps'!D10-'Comps'!D11</f>
        <v/>
      </c>
      <c r="E15" s="4">
        <f>'Comps'!E10-'Comps'!E11</f>
        <v/>
      </c>
      <c r="F15" s="4">
        <f>'Comps'!F10-'Comps'!F11</f>
        <v/>
      </c>
      <c r="G15" s="4">
        <f>'Comps'!G10-'Comps'!G11</f>
        <v/>
      </c>
    </row>
    <row r="16">
      <c r="B16" t="inlineStr">
        <is>
          <t>D&amp;A / EBITDA (capital intensity)</t>
        </is>
      </c>
      <c r="C16" s="10">
        <f>('Comps'!C10-'Comps'!C11)/'Comps'!C10</f>
        <v/>
      </c>
      <c r="D16" s="10">
        <f>('Comps'!D10-'Comps'!D11)/'Comps'!D10</f>
        <v/>
      </c>
      <c r="E16" s="10">
        <f>('Comps'!E10-'Comps'!E11)/'Comps'!E10</f>
        <v/>
      </c>
      <c r="F16" s="10">
        <f>('Comps'!F10-'Comps'!F11)/'Comps'!F10</f>
        <v/>
      </c>
      <c r="G16" s="10">
        <f>('Comps'!G10-'Comps'!G11)/'Comps'!G10</f>
        <v/>
      </c>
      <c r="I16" s="10">
        <f>MIN(C16:G16)</f>
        <v/>
      </c>
      <c r="J16" s="10">
        <f>MEDIAN(C16:G16)</f>
        <v/>
      </c>
      <c r="K16" s="10">
        <f>MAX(C16:G16)</f>
        <v/>
      </c>
    </row>
    <row r="17">
      <c r="B17" t="inlineStr">
        <is>
          <t>EV / EBITDA</t>
        </is>
      </c>
      <c r="C17" s="5">
        <f>'Comps'!C9/'Comps'!C10</f>
        <v/>
      </c>
      <c r="D17" s="5">
        <f>'Comps'!D9/'Comps'!D10</f>
        <v/>
      </c>
      <c r="E17" s="5">
        <f>'Comps'!E9/'Comps'!E10</f>
        <v/>
      </c>
      <c r="F17" s="5">
        <f>'Comps'!F9/'Comps'!F10</f>
        <v/>
      </c>
      <c r="G17" s="5">
        <f>'Comps'!G9/'Comps'!G10</f>
        <v/>
      </c>
      <c r="I17" s="5">
        <f>MIN(C17:G17)</f>
        <v/>
      </c>
      <c r="J17" s="5">
        <f>MEDIAN(C17:G17)</f>
        <v/>
      </c>
      <c r="K17" s="5">
        <f>MAX(C17:G17)</f>
        <v/>
      </c>
    </row>
    <row r="18">
      <c r="B18" t="inlineStr">
        <is>
          <t>EV / EBIT</t>
        </is>
      </c>
      <c r="C18" s="5">
        <f>'Comps'!C9/'Comps'!C11</f>
        <v/>
      </c>
      <c r="D18" s="5">
        <f>'Comps'!D9/'Comps'!D11</f>
        <v/>
      </c>
      <c r="E18" s="5">
        <f>'Comps'!E9/'Comps'!E11</f>
        <v/>
      </c>
      <c r="F18" s="5">
        <f>'Comps'!F9/'Comps'!F11</f>
        <v/>
      </c>
      <c r="G18" s="5">
        <f>'Comps'!G9/'Comps'!G11</f>
        <v/>
      </c>
      <c r="I18" s="5">
        <f>MIN(C18:G18)</f>
        <v/>
      </c>
      <c r="J18" s="5">
        <f>MEDIAN(C18:G18)</f>
        <v/>
      </c>
      <c r="K18" s="5">
        <f>MAX(C18:G18)</f>
        <v/>
      </c>
    </row>
    <row r="19">
      <c r="B19" t="inlineStr">
        <is>
          <t>P/E (SSP is a statutory loss and is excluded from the statistics)</t>
        </is>
      </c>
      <c r="C19" s="5">
        <f>'Comps'!C5/'Comps'!C12</f>
        <v/>
      </c>
      <c r="D19" s="5">
        <f>'Comps'!D5/'Comps'!D12</f>
        <v/>
      </c>
      <c r="E19" s="5">
        <f>'Comps'!E5/'Comps'!E12</f>
        <v/>
      </c>
      <c r="F19" s="5">
        <f>'Comps'!F5/'Comps'!F12</f>
        <v/>
      </c>
      <c r="G19" s="5">
        <f>'Comps'!G5/'Comps'!G12</f>
        <v/>
      </c>
      <c r="I19" s="5">
        <f>MIN(D19:G19)</f>
        <v/>
      </c>
      <c r="J19" s="5">
        <f>MEDIAN(D19:G19)</f>
        <v/>
      </c>
      <c r="K19" s="5">
        <f>MAX(D19:G19)</f>
        <v/>
      </c>
    </row>
    <row r="20">
      <c r="B20" t="inlineStr">
        <is>
          <t>Source (results announcement, then the price snapshot)</t>
        </is>
      </c>
      <c r="C20" s="7" t="inlineStr">
        <is>
          <t>SSP Group plc, '2025 Full Year Results Announcement' RNS, 4 December 2025, year ended 30 September 2025; price stockanalysis.com LON:SSPG 5 August 2026 11:45 GMT</t>
        </is>
      </c>
      <c r="D20" s="7" t="inlineStr">
        <is>
          <t>Domino's Pizza Group plc, 'Full year results for the 52 weeks ended 28.12.25' RNS, 10 March 2026; price stockanalysis.com LON:DOM 5 August 2026 11:59 GMT</t>
        </is>
      </c>
      <c r="E20" s="7" t="inlineStr">
        <is>
          <t>J D Wetherspoon plc, 'Preliminary Results' RNS, 3 October 2025, 52 weeks ended 27 July 2025; price stockanalysis.com LON:JDW 5 August 2026 11:54 GMT</t>
        </is>
      </c>
      <c r="F20" s="7" t="inlineStr">
        <is>
          <t>Mitchells &amp; Butlers plc, 'Full Year Results' RNS, 28 November 2025, 52 weeks ended 27 September 2025; price stockanalysis.com LON:MAB 5 August 2026 11:52 GMT</t>
        </is>
      </c>
      <c r="G20" s="7" t="inlineStr">
        <is>
          <t>Whitbread PLC, 'Preliminary Results Announcement' RNS, 30 April 2026, 52 weeks ended 26 February 2026; price stockanalysis.com LON:WTB 5 August 2026 11:58 GMT</t>
        </is>
      </c>
      <c r="L20" t="inlineStr">
        <is>
          <t>Peer figures were read through a summarising fetcher, NOT line by line from the source documents, and carry no page references — see comps.py. Every EBIT above is a printed operating-profit line; three of the five EBITDAs are constructed.</t>
        </is>
      </c>
    </row>
    <row r="21">
      <c r="B21" t="inlineStr">
        <is>
          <t>All six share prices were observed at</t>
        </is>
      </c>
      <c r="C21" s="7" t="inlineStr">
        <is>
          <t>5 August 2026, 11:45-11:59 GMT</t>
        </is>
      </c>
    </row>
    <row r="23">
      <c r="A23" s="1" t="inlineStr">
        <is>
          <t>Greggs plc at the observed market price, on the same basis</t>
        </is>
      </c>
    </row>
    <row r="24">
      <c r="B24" t="inlineStr">
        <is>
          <t>Greggs share price (pence)</t>
        </is>
      </c>
      <c r="C24" s="19" t="n">
        <v>1964</v>
      </c>
    </row>
    <row r="25">
      <c r="B25" t="inlineStr">
        <is>
          <t>Greggs shares outstanding (m, price provider; the filing's diluted count is on Historicals)</t>
        </is>
      </c>
      <c r="C25" s="11" t="n">
        <v>101.96</v>
      </c>
    </row>
    <row r="26">
      <c r="B26" t="inlineStr">
        <is>
          <t>Greggs market capitalisation (£m)</t>
        </is>
      </c>
      <c r="C26" s="4">
        <f>'Comps'!$C$24/100*'Comps'!$C$25</f>
        <v/>
      </c>
    </row>
    <row r="27">
      <c r="B27" t="inlineStr">
        <is>
          <t>Greggs net debt including lease liabilities (£m, FY2025 actual)</t>
        </is>
      </c>
      <c r="C27" s="4">
        <f>'Historicals'!E31-'Historicals'!E25+'Historicals'!E30</f>
        <v/>
      </c>
    </row>
    <row r="28">
      <c r="B28" t="inlineStr">
        <is>
          <t>Greggs enterprise value (£m)</t>
        </is>
      </c>
      <c r="C28" s="4">
        <f>'Comps'!$C$26+'Comps'!$C$27</f>
        <v/>
      </c>
    </row>
    <row r="29">
      <c r="B29" t="inlineStr">
        <is>
          <t>Greggs EBITDA (£m, FY2025, the basis the model forecasts)</t>
        </is>
      </c>
      <c r="C29" s="14">
        <f>'Historicals'!E13</f>
        <v/>
      </c>
    </row>
    <row r="30">
      <c r="B30" t="inlineStr">
        <is>
          <t>Greggs EBIT (£m, FY2025, struck AFTER impairment — see below)</t>
        </is>
      </c>
      <c r="C30" s="14">
        <f>'Historicals'!E15</f>
        <v/>
      </c>
    </row>
    <row r="31">
      <c r="B31" t="inlineStr">
        <is>
          <t>Greggs net income (£m, FY2025)</t>
        </is>
      </c>
      <c r="C31" s="14">
        <f>'Historicals'!E17</f>
        <v/>
      </c>
    </row>
    <row r="32">
      <c r="B32" t="inlineStr">
        <is>
          <t>Greggs EV / EBITDA</t>
        </is>
      </c>
      <c r="C32" s="5">
        <f>'Comps'!$C$28/'Comps'!$C$29</f>
        <v/>
      </c>
    </row>
    <row r="33">
      <c r="B33" t="inlineStr">
        <is>
          <t>Greggs EV / EBIT</t>
        </is>
      </c>
      <c r="C33" s="5">
        <f>'Comps'!$C$28/'Comps'!$C$30</f>
        <v/>
      </c>
    </row>
    <row r="34">
      <c r="B34" t="inlineStr">
        <is>
          <t>Greggs P/E</t>
        </is>
      </c>
      <c r="C34" s="5">
        <f>'Comps'!$C$26/'Comps'!$C$31</f>
        <v/>
      </c>
    </row>
    <row r="35">
      <c r="B35" t="inlineStr">
        <is>
          <t>Discount to the peer median on EV/EBITDA (negative = cheaper)</t>
        </is>
      </c>
      <c r="C35" s="10">
        <f>'Comps'!$C$32/'Comps'!$J$17-1</f>
        <v/>
      </c>
    </row>
    <row r="36">
      <c r="B36" t="inlineStr">
        <is>
          <t>Discount to the peer median on EV/EBIT (NOT like for like — see impairment below)</t>
        </is>
      </c>
      <c r="C36" s="10">
        <f>'Comps'!$C$33/'Comps'!$J$18-1</f>
        <v/>
      </c>
    </row>
    <row r="38">
      <c r="A38" s="1" t="inlineStr">
        <is>
          <t>Impairment asymmetry on EBIT — a known bias, and it flatters the model</t>
        </is>
      </c>
    </row>
    <row r="39">
      <c r="B39" t="inlineStr">
        <is>
          <t>FY2025 net impairment of PP&amp;E, inside depreciation (FY2025 AR p.148)</t>
        </is>
      </c>
      <c r="C39" s="12" t="n">
        <v>3.9</v>
      </c>
    </row>
    <row r="40">
      <c r="B40" t="inlineStr">
        <is>
          <t>FY2025 net impairment of ROU assets, inside depreciation (FY2025 AR p.148)</t>
        </is>
      </c>
      <c r="C40" s="12" t="n">
        <v>3</v>
      </c>
    </row>
    <row r="41">
      <c r="B41" t="inlineStr">
        <is>
          <t>FY2025 net impairment inside D&amp;A (£m)</t>
        </is>
      </c>
      <c r="C41" s="4">
        <f>'Comps'!$C$39+'Comps'!$C$40</f>
        <v/>
      </c>
    </row>
    <row r="42">
      <c r="B42" t="inlineStr">
        <is>
          <t>Greggs EBIT on the peers' basis, before impairment (£m)</t>
        </is>
      </c>
      <c r="C42" s="4">
        <f>'Comps'!$C$30+'Comps'!$C$41</f>
        <v/>
      </c>
    </row>
    <row r="43">
      <c r="B43" t="inlineStr">
        <is>
          <t>Peers'-basis EV / EBIT (Greggs, before impairment)</t>
        </is>
      </c>
      <c r="C43" s="5">
        <f>'Comps'!$C$28/'Comps'!$C$42</f>
        <v/>
      </c>
    </row>
    <row r="44">
      <c r="B44" t="inlineStr">
        <is>
          <t>Discount to the peer median on the peers'-basis EV/EBIT (the like-for-like read)</t>
        </is>
      </c>
      <c r="C44" s="10">
        <f>'Comps'!$C$43/'Comps'!$J$18-1</f>
        <v/>
      </c>
    </row>
    <row r="46">
      <c r="A46" s="1" t="inlineStr">
        <is>
          <t>Comps-implied value, and the traded range it is read against</t>
        </is>
      </c>
    </row>
    <row r="47">
      <c r="B47" t="inlineStr">
        <is>
          <t>Comps-implied share price at the peer minimum EV/EBITDA (p)</t>
        </is>
      </c>
      <c r="C47" s="18">
        <f>('Comps'!$C$29*'Comps'!$I$17-('Historicals'!E31-'Historicals'!E25)-'Historicals'!E30)/'Historicals'!E44*100</f>
        <v/>
      </c>
    </row>
    <row r="48">
      <c r="B48" t="inlineStr">
        <is>
          <t>Comps-implied share price at the peer median EV/EBITDA (p)</t>
        </is>
      </c>
      <c r="C48" s="18">
        <f>('Comps'!$C$29*'Comps'!$J$17-('Historicals'!E31-'Historicals'!E25)-'Historicals'!E30)/'Historicals'!E44*100</f>
        <v/>
      </c>
    </row>
    <row r="49">
      <c r="B49" t="inlineStr">
        <is>
          <t>Comps-implied share price at the peer maximum EV/EBITDA (p)</t>
        </is>
      </c>
      <c r="C49" s="18">
        <f>('Comps'!$C$29*'Comps'!$K$17-('Historicals'!E31-'Historicals'!E25)-'Historicals'!E30)/'Historicals'!E44*100</f>
        <v/>
      </c>
    </row>
    <row r="50">
      <c r="B50" t="inlineStr">
        <is>
          <t>52-week low (pence, market observation, no formula source)</t>
        </is>
      </c>
      <c r="C50" s="19" t="n">
        <v>1407.2</v>
      </c>
    </row>
    <row r="51">
      <c r="B51" t="inlineStr">
        <is>
          <t>52-week high (pence, market observation, no formula source)</t>
        </is>
      </c>
      <c r="C51" s="19" t="n">
        <v>2046</v>
      </c>
    </row>
    <row r="53">
      <c r="A53" s="1" t="inlineStr">
        <is>
          <t>The exit multiple this peer set implies (it SETS the driver)</t>
        </is>
      </c>
    </row>
    <row r="54">
      <c r="B54" t="inlineStr">
        <is>
          <t>Terminal D&amp;A / EBITDA, from the DCF's re-based terminal year</t>
        </is>
      </c>
      <c r="C54" s="15">
        <f>'DCF'!$C$41</f>
        <v/>
      </c>
    </row>
    <row r="55">
      <c r="B55" t="inlineStr">
        <is>
          <t>Derived exit EV/EBITDA (= peer median EV/EBIT x (1 - terminal D&amp;A/EBITDA))</t>
        </is>
      </c>
      <c r="C55" s="5">
        <f>'Comps'!$J$18*(1-'Comps'!$C$54)</f>
        <v/>
      </c>
    </row>
    <row r="56">
      <c r="B56" t="inlineStr">
        <is>
          <t>Exit EV/EBITDA as shipped on Assumptions (the derived figure, 2dp)</t>
        </is>
      </c>
      <c r="C56" s="16">
        <f>'Assumptions'!$C$31</f>
        <v/>
      </c>
    </row>
    <row r="57">
      <c r="B57" t="inlineStr">
        <is>
          <t>Rounding carried by the shipped driver (derived less shipped)</t>
        </is>
      </c>
      <c r="C57" s="13">
        <f>'Comps'!$C$55-'Comps'!$C$56</f>
        <v/>
      </c>
    </row>
    <row r="58">
      <c r="B58" t="inlineStr">
        <is>
          <t>The median of five observations IS one observation — here J D Wetherspoon, a majority-freehold pub company. Dropping any of the three highest names moves the EV/EBIT median by -4.6% (SSP or Whitbread) or -4.5% (JDW, which IS the median), which is the honest error bar on everything derived from it.</t>
        </is>
      </c>
    </row>
    <row r="59">
      <c r="B59" t="inlineStr">
        <is>
          <t>Not one of the five is a close structural match to leased-estate food-to-go retail. SSP is the closest and the cheapest; Domino's is an asset-light franchisor and its 10.1x EV/EBITDA is an upper bound on franchise economics, not a comparable capital structure.</t>
        </is>
      </c>
    </row>
    <row r="60">
      <c r="B60" t="inlineStr">
        <is>
          <t>PROVENANCE IS NOT SYMMETRIC: Greggs' figures were read line by line from the filings with page numbers; the peer figures were not, and have no page references. Internal ties bound transcription error only — they say nothing about whether the right line was selected.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Leveraged buyout — sponsor returns on the model's own operating case, £m</t>
        </is>
      </c>
    </row>
    <row r="2">
      <c r="F2" s="6">
        <f>'Assumptions'!F$2</f>
        <v/>
      </c>
      <c r="G2" s="6">
        <f>'Assumptions'!G$2</f>
        <v/>
      </c>
      <c r="H2" s="6">
        <f>'Assumptions'!H$2</f>
        <v/>
      </c>
      <c r="I2" s="6">
        <f>'Assumptions'!I$2</f>
        <v/>
      </c>
      <c r="J2" s="6">
        <f>'Assumptions'!J$2</f>
        <v/>
      </c>
    </row>
    <row r="3">
      <c r="B3" t="inlineStr">
        <is>
          <t>Entry enterprise value (Greggs' traded EV from Comps)</t>
        </is>
      </c>
      <c r="C3" s="14">
        <f>'Comps'!$C$28</f>
        <v/>
      </c>
    </row>
    <row r="4">
      <c r="B4" t="inlineStr">
        <is>
          <t>Entry EBITDA (FY2025, the basis the model forecasts)</t>
        </is>
      </c>
      <c r="C4" s="14">
        <f>'Historicals'!E13</f>
        <v/>
      </c>
    </row>
    <row r="5">
      <c r="B5" t="inlineStr">
        <is>
          <t>Entry EV/EBITDA</t>
        </is>
      </c>
      <c r="C5" s="5">
        <f>'LBO'!$C$3/'LBO'!$C$4</f>
        <v/>
      </c>
    </row>
    <row r="6">
      <c r="B6" t="inlineStr">
        <is>
          <t>Entry leverage (x EBITDA, total net debt INCLUDING leases)</t>
        </is>
      </c>
      <c r="C6" s="16">
        <f>'Assumptions'!$C$64</f>
        <v/>
      </c>
    </row>
    <row r="7">
      <c r="B7" t="inlineStr">
        <is>
          <t>Entry total net debt including leases</t>
        </is>
      </c>
      <c r="C7" s="4">
        <f>'LBO'!$C$6*'LBO'!$C$4</f>
        <v/>
      </c>
    </row>
    <row r="8">
      <c r="B8" t="inlineStr">
        <is>
          <t xml:space="preserve">  of which the existing lease liability (already spoken for)</t>
        </is>
      </c>
      <c r="C8" s="14">
        <f>'Historicals'!E30</f>
        <v/>
      </c>
    </row>
    <row r="9">
      <c r="B9" t="inlineStr">
        <is>
          <t xml:space="preserve">  new financial debt raised (the leverage less the leases)</t>
        </is>
      </c>
      <c r="C9" s="4">
        <f>'LBO'!$C$7-'LBO'!$C$8</f>
        <v/>
      </c>
    </row>
    <row r="10">
      <c r="B10" t="inlineStr">
        <is>
          <t>Sponsor equity cheque (entry EV less total entry debt)</t>
        </is>
      </c>
      <c r="C10" s="4">
        <f>'LBO'!$C$3-'LBO'!$C$7</f>
        <v/>
      </c>
    </row>
    <row r="12">
      <c r="A12" s="1" t="inlineStr">
        <is>
          <t>The hold — cash sweep against the new financial debt</t>
        </is>
      </c>
    </row>
    <row r="13">
      <c r="B13" t="inlineStr">
        <is>
          <t>Unlevered free cash flow (the DCF's own, unchanged)</t>
        </is>
      </c>
      <c r="F13" s="14">
        <f>'DCF'!F14</f>
        <v/>
      </c>
      <c r="G13" s="14">
        <f>'DCF'!G14</f>
        <v/>
      </c>
      <c r="H13" s="14">
        <f>'DCF'!H14</f>
        <v/>
      </c>
      <c r="I13" s="14">
        <f>'DCF'!I14</f>
        <v/>
      </c>
      <c r="J13" s="14">
        <f>'DCF'!J14</f>
        <v/>
      </c>
    </row>
    <row r="14">
      <c r="B14" t="inlineStr">
        <is>
          <t>New ROU additions added back (a new lease funds its own asset)</t>
        </is>
      </c>
      <c r="F14" s="14">
        <f>'Schedules'!F25</f>
        <v/>
      </c>
      <c r="G14" s="14">
        <f>'Schedules'!G25</f>
        <v/>
      </c>
      <c r="H14" s="14">
        <f>'Schedules'!H25</f>
        <v/>
      </c>
      <c r="I14" s="14">
        <f>'Schedules'!I25</f>
        <v/>
      </c>
      <c r="J14" s="14">
        <f>'Schedules'!J25</f>
        <v/>
      </c>
    </row>
    <row r="15">
      <c r="B15" t="inlineStr">
        <is>
          <t>Lease principal repaid</t>
        </is>
      </c>
      <c r="F15" s="14">
        <f>'Schedules'!F30</f>
        <v/>
      </c>
      <c r="G15" s="14">
        <f>'Schedules'!G30</f>
        <v/>
      </c>
      <c r="H15" s="14">
        <f>'Schedules'!H30</f>
        <v/>
      </c>
      <c r="I15" s="14">
        <f>'Schedules'!I30</f>
        <v/>
      </c>
      <c r="J15" s="14">
        <f>'Schedules'!J30</f>
        <v/>
      </c>
    </row>
    <row r="16">
      <c r="B16" t="inlineStr">
        <is>
          <t>Lease interest</t>
        </is>
      </c>
      <c r="F16" s="14">
        <f>'Schedules'!F29</f>
        <v/>
      </c>
      <c r="G16" s="14">
        <f>'Schedules'!G29</f>
        <v/>
      </c>
      <c r="H16" s="14">
        <f>'Schedules'!H29</f>
        <v/>
      </c>
      <c r="I16" s="14">
        <f>'Schedules'!I29</f>
        <v/>
      </c>
      <c r="J16" s="14">
        <f>'Schedules'!J29</f>
        <v/>
      </c>
    </row>
    <row r="17">
      <c r="B17" t="inlineStr">
        <is>
          <t>Opening financial debt</t>
        </is>
      </c>
      <c r="F17" s="4">
        <f>'LBO'!$C$9</f>
        <v/>
      </c>
      <c r="G17" s="4">
        <f>'LBO'!F20</f>
        <v/>
      </c>
      <c r="H17" s="4">
        <f>'LBO'!G20</f>
        <v/>
      </c>
      <c r="I17" s="4">
        <f>'LBO'!H20</f>
        <v/>
      </c>
      <c r="J17" s="4">
        <f>'LBO'!I20</f>
        <v/>
      </c>
    </row>
    <row r="18">
      <c r="B18" t="inlineStr">
        <is>
          <t>Interest on financial debt (rate on the opening balance)</t>
        </is>
      </c>
      <c r="F18" s="4">
        <f>'LBO'!F17*'Assumptions'!$C$44</f>
        <v/>
      </c>
      <c r="G18" s="4">
        <f>'LBO'!G17*'Assumptions'!$C$44</f>
        <v/>
      </c>
      <c r="H18" s="4">
        <f>'LBO'!H17*'Assumptions'!$C$44</f>
        <v/>
      </c>
      <c r="I18" s="4">
        <f>'LBO'!I17*'Assumptions'!$C$44</f>
        <v/>
      </c>
      <c r="J18" s="4">
        <f>'LBO'!J17*'Assumptions'!$C$44</f>
        <v/>
      </c>
    </row>
    <row r="19">
      <c r="B19" t="inlineStr">
        <is>
          <t>Cash available to repay debt (negative draws more)</t>
        </is>
      </c>
      <c r="F19" s="4">
        <f>'LBO'!F13+'LBO'!F14-'LBO'!F15-'LBO'!F16*(1-'Assumptions'!$C$39)-'LBO'!F18*(1-'Assumptions'!$C$39)</f>
        <v/>
      </c>
      <c r="G19" s="4">
        <f>'LBO'!G13+'LBO'!G14-'LBO'!G15-'LBO'!G16*(1-'Assumptions'!$C$39)-'LBO'!G18*(1-'Assumptions'!$C$39)</f>
        <v/>
      </c>
      <c r="H19" s="4">
        <f>'LBO'!H13+'LBO'!H14-'LBO'!H15-'LBO'!H16*(1-'Assumptions'!$C$39)-'LBO'!H18*(1-'Assumptions'!$C$39)</f>
        <v/>
      </c>
      <c r="I19" s="4">
        <f>'LBO'!I13+'LBO'!I14-'LBO'!I15-'LBO'!I16*(1-'Assumptions'!$C$39)-'LBO'!I18*(1-'Assumptions'!$C$39)</f>
        <v/>
      </c>
      <c r="J19" s="4">
        <f>'LBO'!J13+'LBO'!J14-'LBO'!J15-'LBO'!J16*(1-'Assumptions'!$C$39)-'LBO'!J18*(1-'Assumptions'!$C$39)</f>
        <v/>
      </c>
    </row>
    <row r="20">
      <c r="B20" t="inlineStr">
        <is>
          <t>Closing financial debt</t>
        </is>
      </c>
      <c r="F20" s="4">
        <f>'LBO'!F17-'LBO'!F19</f>
        <v/>
      </c>
      <c r="G20" s="4">
        <f>'LBO'!G17-'LBO'!G19</f>
        <v/>
      </c>
      <c r="H20" s="4">
        <f>'LBO'!H17-'LBO'!H19</f>
        <v/>
      </c>
      <c r="I20" s="4">
        <f>'LBO'!I17-'LBO'!I19</f>
        <v/>
      </c>
      <c r="J20" s="4">
        <f>'LBO'!J17-'LBO'!J19</f>
        <v/>
      </c>
    </row>
    <row r="21">
      <c r="B21" t="inlineStr">
        <is>
          <t>Closing lease liabilities (the DCF's own lease book — it GROWS)</t>
        </is>
      </c>
      <c r="F21" s="14">
        <f>'Schedules'!F31</f>
        <v/>
      </c>
      <c r="G21" s="14">
        <f>'Schedules'!G31</f>
        <v/>
      </c>
      <c r="H21" s="14">
        <f>'Schedules'!H31</f>
        <v/>
      </c>
      <c r="I21" s="14">
        <f>'Schedules'!I31</f>
        <v/>
      </c>
      <c r="J21" s="14">
        <f>'Schedules'!J31</f>
        <v/>
      </c>
    </row>
    <row r="22">
      <c r="B22" t="inlineStr">
        <is>
          <t>Closing total debt including leases</t>
        </is>
      </c>
      <c r="F22" s="4">
        <f>'LBO'!F20+'LBO'!F21</f>
        <v/>
      </c>
      <c r="G22" s="4">
        <f>'LBO'!G20+'LBO'!G21</f>
        <v/>
      </c>
      <c r="H22" s="4">
        <f>'LBO'!H20+'LBO'!H21</f>
        <v/>
      </c>
      <c r="I22" s="4">
        <f>'LBO'!I20+'LBO'!I21</f>
        <v/>
      </c>
      <c r="J22" s="4">
        <f>'LBO'!J20+'LBO'!J21</f>
        <v/>
      </c>
    </row>
    <row r="23">
      <c r="B23" t="inlineStr">
        <is>
          <t>Closing total debt / that year's EBITDA</t>
        </is>
      </c>
      <c r="F23" s="5">
        <f>'LBO'!F22/'IS'!F7</f>
        <v/>
      </c>
      <c r="G23" s="5">
        <f>'LBO'!G22/'IS'!G7</f>
        <v/>
      </c>
      <c r="H23" s="5">
        <f>'LBO'!H22/'IS'!H7</f>
        <v/>
      </c>
      <c r="I23" s="5">
        <f>'LBO'!I22/'IS'!I7</f>
        <v/>
      </c>
      <c r="J23" s="5">
        <f>'LBO'!J22/'IS'!J7</f>
        <v/>
      </c>
    </row>
    <row r="25">
      <c r="A25" s="1" t="inlineStr">
        <is>
          <t>Exit — at the multiple paid, with no expansion assumed</t>
        </is>
      </c>
    </row>
    <row r="26">
      <c r="B26" t="inlineStr">
        <is>
          <t>Exit EBITDA (FY2030)</t>
        </is>
      </c>
      <c r="C26" s="14">
        <f>'IS'!J7</f>
        <v/>
      </c>
    </row>
    <row r="27">
      <c r="B27" t="inlineStr">
        <is>
          <t>Exit EV/EBITDA (the entry multiple, unchanged)</t>
        </is>
      </c>
      <c r="C27" s="5">
        <f>'LBO'!$C$5</f>
        <v/>
      </c>
    </row>
    <row r="28">
      <c r="B28" t="inlineStr">
        <is>
          <t>Exit enterprise value</t>
        </is>
      </c>
      <c r="C28" s="4">
        <f>'LBO'!$C$27*'LBO'!$C$26</f>
        <v/>
      </c>
    </row>
    <row r="29">
      <c r="B29" t="inlineStr">
        <is>
          <t>Exit total net debt including leases</t>
        </is>
      </c>
      <c r="C29" s="14">
        <f>'LBO'!J22</f>
        <v/>
      </c>
    </row>
    <row r="30">
      <c r="B30" t="inlineStr">
        <is>
          <t>Exit equity value</t>
        </is>
      </c>
      <c r="C30" s="4">
        <f>'LBO'!$C$28-'LBO'!$C$29</f>
        <v/>
      </c>
    </row>
    <row r="31">
      <c r="B31" t="inlineStr">
        <is>
          <t>Hold period (years, = the length of the forecast)</t>
        </is>
      </c>
      <c r="C31" s="13">
        <f>COLUMNS(F13:J13)</f>
        <v/>
      </c>
    </row>
    <row r="32">
      <c r="B32" t="inlineStr">
        <is>
          <t>Money multiple (exit equity / entry equity)</t>
        </is>
      </c>
      <c r="C32" s="5">
        <f>'LBO'!$C$30/'LBO'!$C$10</f>
        <v/>
      </c>
    </row>
    <row r="33">
      <c r="B33" t="inlineStr">
        <is>
          <t>IRR (geometric: one cheque in, one out)</t>
        </is>
      </c>
      <c r="C33" s="10">
        <f>'LBO'!$C$32^(1/'LBO'!$C$31)-1</f>
        <v/>
      </c>
    </row>
    <row r="34">
      <c r="B34" t="inlineStr">
        <is>
          <t>IRR less the sponsor hurdle (negative = below it)</t>
        </is>
      </c>
      <c r="C34" s="10">
        <f>'LBO'!$C$33-'Assumptions'!$C$65</f>
        <v/>
      </c>
    </row>
    <row r="35">
      <c r="B35" t="inlineStr">
        <is>
          <t>Exit EV/EBITDA that would clear the hurdle (against the entry multiple above)</t>
        </is>
      </c>
      <c r="C35" s="5">
        <f>('LBO'!$C$10*(1+'Assumptions'!$C$65)^'LBO'!$C$31+'LBO'!$C$29)/'LBO'!$C$26</f>
        <v/>
      </c>
    </row>
    <row r="36">
      <c r="B36" t="inlineStr">
        <is>
          <t>Change in total debt over the hold (exit less entry, £m; positive = debt GREW)</t>
        </is>
      </c>
      <c r="C36" s="4">
        <f>'LBO'!$C$29-'LBO'!$C$7</f>
        <v/>
      </c>
    </row>
    <row r="37">
      <c r="B37" t="inlineStr">
        <is>
          <t>EBITDA growth over the hold</t>
        </is>
      </c>
      <c r="C37" s="10">
        <f>'LBO'!$C$26/'LBO'!$C$4-1</f>
        <v/>
      </c>
    </row>
    <row r="38">
      <c r="B38" t="inlineStr">
        <is>
          <t>Read the two rows above together. De-gearing contributes nothing to the return in any scenario and works against it in two: total debt including leases ends £208.7m HIGHER in Bear and £118.2m higher in Base, and only £6.8m lower in Bull, against an equity cheque of £1,001.7m. The money multiple is therefore essentially an EBITDA-growth story applied to a static multiple. Unlevered free cash flow is negative in FY2026 in every scenario (and in FY2027 too in Bear and Base) while the distribution-centre programme runs, so the sponsor FUNDS capex rather than sweeping cash against the debt; and the lease book grows in all three, because the model opens more shops than it closes.</t>
        </is>
      </c>
    </row>
    <row r="39">
      <c r="B39" t="inlineStr">
        <is>
          <t>This sheet CANNOT corroborate the DCF: the free cash flow row above is the DCF's own row, so both are wrong together or right together. It is the same cash flows re-expressed levered and inside a five-year window, which is why the terminal-value concentration on the DCF sheet shows up here as a low IRR. It also carries no control premium and no fees, both of which flatter it — lbo.py quantifies each.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5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44" customWidth="1" min="12" max="12"/>
  </cols>
  <sheetData>
    <row r="1">
      <c r="A1" s="1" t="inlineStr">
        <is>
          <t>Football field — valuation ranges, pence per share</t>
        </is>
      </c>
    </row>
    <row r="3">
      <c r="C3" s="6" t="inlineStr">
        <is>
          <t>Low</t>
        </is>
      </c>
      <c r="D3" s="6" t="inlineStr">
        <is>
          <t>High</t>
        </is>
      </c>
      <c r="E3" s="6" t="inlineStr">
        <is>
          <t>Span</t>
        </is>
      </c>
      <c r="F3" s="6" t="inlineStr">
        <is>
          <t>Central</t>
        </is>
      </c>
    </row>
    <row r="4">
      <c r="B4" t="inlineStr">
        <is>
          <t>DCF (Gordon) — WACC +/-100bp, perpetuity growth +/-50bp</t>
        </is>
      </c>
      <c r="C4" s="18">
        <f>MIN('Sensitivity'!D5:H5,'Sensitivity'!D6:H6,'Sensitivity'!D7:H7,'Sensitivity'!D8:H8,'Sensitivity'!D9:H9)</f>
        <v/>
      </c>
      <c r="D4" s="18">
        <f>MAX('Sensitivity'!D5:H5,'Sensitivity'!D6:H6,'Sensitivity'!D7:H7,'Sensitivity'!D8:H8,'Sensitivity'!D9:H9)</f>
        <v/>
      </c>
      <c r="E4" s="18">
        <f>D4-C4</f>
        <v/>
      </c>
      <c r="F4" s="18">
        <f>'DCF'!$C$65</f>
        <v/>
      </c>
    </row>
    <row r="5">
      <c r="B5" t="inlineStr">
        <is>
          <t>Trading comps — peer minimum to peer maximum EV/EBITDA</t>
        </is>
      </c>
      <c r="C5" s="18">
        <f>'Comps'!$C$47</f>
        <v/>
      </c>
      <c r="D5" s="18">
        <f>'Comps'!$C$49</f>
        <v/>
      </c>
      <c r="E5" s="18">
        <f>D5-C5</f>
        <v/>
      </c>
      <c r="F5" s="18">
        <f>'Comps'!$C$48</f>
        <v/>
      </c>
    </row>
    <row r="6">
      <c r="B6" t="inlineStr">
        <is>
          <t>52-week traded range — the market's own answer</t>
        </is>
      </c>
      <c r="C6" s="18">
        <f>'Comps'!$C$50</f>
        <v/>
      </c>
      <c r="D6" s="18">
        <f>'Comps'!$C$51</f>
        <v/>
      </c>
      <c r="E6" s="18">
        <f>D6-C6</f>
        <v/>
      </c>
      <c r="F6" s="18">
        <f>'Comps'!$C$24</f>
        <v/>
      </c>
    </row>
    <row r="8">
      <c r="B8" t="inlineStr">
        <is>
          <t>There is deliberately NO exit-multiple bar. The exit multiple is derived as peer median EV/EBIT x (1 - terminal D&amp;A/EBITDA), and since EV/EBITDA = EV/EBIT x (1 - D&amp;A/EBITDA) is an identity, its terminal value is arithmetically the peer median EV/EBIT applied to terminal EBIT. Drawn beside the Gordon bar it would present one peer statistic, already carried by the comps bar, as a second independent method.</t>
        </is>
      </c>
    </row>
    <row r="9">
      <c r="B9" t="inlineStr">
        <is>
          <t>The 52-week range and the traded price are market observations from one provider on one date -- see the observation date on Comps. They are the only figures in this workbook that are wrong tomorrow rather than merely out of date at the next reporting cycle. Re-read them before showing this sheet to anyone.</t>
        </is>
      </c>
    </row>
    <row r="10">
      <c r="B10" t="inlineStr">
        <is>
          <t>A wider bar is not a less confident method. The comps bar spans the peer minimum to maximum across five names, none of which is a close structural match for leased-estate food-to-go; the DCF bar spans a deliberately chosen +/-100bp of WACC. They are different kinds of range and should not be compared by width.</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2026-08-13T21:30:19Z</dcterms:created>
  <dcterms:modified xmlns:dcterms="http://purl.org/dc/terms/" xmlns:xsi="http://www.w3.org/2001/XMLSchema-instance" xsi:type="dcterms:W3CDTF">2026-08-13T21:30:19Z</dcterms:modified>
</cp:coreProperties>
</file>